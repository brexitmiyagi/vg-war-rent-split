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Model" sheetId="2" state="visible" r:id="rId4"/>
    <sheet name="Valuation" sheetId="3" state="visible" r:id="rId5"/>
    <sheet name="Gri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model</author>
  </authors>
  <commentList>
    <comment ref="B3" authorId="0">
      <text>
        <r>
          <rPr>
            <sz val="10"/>
            <rFont val="Arial"/>
            <family val="2"/>
          </rPr>
          <t xml:space="preserve">stockanalysis.com / Yahoo Finance close</t>
        </r>
      </text>
    </comment>
    <comment ref="B4" authorId="0">
      <text>
        <r>
          <rPr>
            <sz val="10"/>
            <rFont val="Arial"/>
            <family val="2"/>
          </rPr>
          <t xml:space="preserve">Q2 2026 10-Q Note 16 (2,643m)</t>
        </r>
      </text>
    </comment>
    <comment ref="B5" authorId="0">
      <text>
        <r>
          <rPr>
            <sz val="10"/>
            <rFont val="Arial"/>
            <family val="2"/>
          </rPr>
          <t xml:space="preserve">close to the 19.2% Q2 2026 effective rate</t>
        </r>
      </text>
    </comment>
    <comment ref="B6" authorId="0">
      <text>
        <r>
          <rPr>
            <sz val="10"/>
            <rFont val="Arial"/>
            <family val="2"/>
          </rPr>
          <t xml:space="preserve">ASSUMPTION: a little above the 6.375%/6.625% VGLNG coupons issued in 2026</t>
        </r>
      </text>
    </comment>
    <comment ref="B7" authorId="0">
      <text>
        <r>
          <rPr>
            <sz val="10"/>
            <rFont val="Arial"/>
            <family val="2"/>
          </rPr>
          <t xml:space="preserve">ASSUMPTION: above the 9.0% Series A preferred</t>
        </r>
      </text>
    </comment>
    <comment ref="B8" authorId="0">
      <text>
        <r>
          <rPr>
            <sz val="10"/>
            <rFont val="Arial"/>
            <family val="2"/>
          </rPr>
          <t xml:space="preserve">ASSUMPTION</t>
        </r>
      </text>
    </comment>
    <comment ref="B9" authorId="0">
      <text>
        <r>
          <rPr>
            <sz val="10"/>
            <rFont val="Arial"/>
            <family val="2"/>
          </rPr>
          <t xml:space="preserve">valuation.py estimate: 30 Jun net debt + H2 capex - H2 cash earnings</t>
        </r>
      </text>
    </comment>
    <comment ref="B10" authorId="0">
      <text>
        <r>
          <rPr>
            <sz val="10"/>
            <rFont val="Arial"/>
            <family val="2"/>
          </rPr>
          <t xml:space="preserve">Q2 2026 10-Q</t>
        </r>
      </text>
    </comment>
    <comment ref="B11" authorId="0">
      <text>
        <r>
          <rPr>
            <sz val="10"/>
            <rFont val="Arial"/>
            <family val="2"/>
          </rPr>
          <t xml:space="preserve">4 x $67m quarterly, Q2 2026 10-Q</t>
        </r>
      </text>
    </comment>
    <comment ref="B12" authorId="0">
      <text>
        <r>
          <rPr>
            <sz val="10"/>
            <rFont val="Arial"/>
            <family val="2"/>
          </rPr>
          <t xml:space="preserve">2026 NCI guide midpoint, Q1 2026 deck</t>
        </r>
      </text>
    </comment>
    <comment ref="B13" authorId="0">
      <text>
        <r>
          <rPr>
            <sz val="10"/>
            <rFont val="Arial"/>
            <family val="2"/>
          </rPr>
          <t xml:space="preserve">ASSUMPTION: half of BP's $3.7bn low-end claim, after tax</t>
        </r>
      </text>
    </comment>
    <comment ref="B14" authorId="0">
      <text>
        <r>
          <rPr>
            <sz val="10"/>
            <rFont val="Arial"/>
            <family val="2"/>
          </rPr>
          <t xml:space="preserve">$0.04/qtr on 2.498bn shares (Q2 2026 call)</t>
        </r>
      </text>
    </comment>
    <comment ref="B15" authorId="0">
      <text>
        <r>
          <rPr>
            <sz val="10"/>
            <rFont val="Arial"/>
            <family val="2"/>
          </rPr>
          <t xml:space="preserve">Aug 2026 cargo outlook x 3.7 TBtu</t>
        </r>
      </text>
    </comment>
    <comment ref="B16" authorId="0">
      <text>
        <r>
          <rPr>
            <sz val="10"/>
            <rFont val="Arial"/>
            <family val="2"/>
          </rPr>
          <t xml:space="preserve">Q2 2026 deck $1 sensitivity midpoint</t>
        </r>
      </text>
    </comment>
    <comment ref="B17" authorId="0">
      <text>
        <r>
          <rPr>
            <sz val="10"/>
            <rFont val="Arial"/>
            <family val="2"/>
          </rPr>
          <t xml:space="preserve">Aug 2026 release</t>
        </r>
      </text>
    </comment>
    <comment ref="B18" authorId="0">
      <text>
        <r>
          <rPr>
            <sz val="10"/>
            <rFont val="Arial"/>
            <family val="2"/>
          </rPr>
          <t xml:space="preserve">midpoint of $12.50-13.50, Aug 2026 release</t>
        </r>
      </text>
    </comment>
    <comment ref="B19" authorId="0">
      <text>
        <r>
          <rPr>
            <sz val="10"/>
            <rFont val="Arial"/>
            <family val="2"/>
          </rPr>
          <t xml:space="preserve">Aug 2026 release</t>
        </r>
      </text>
    </comment>
    <comment ref="B20" authorId="0">
      <text>
        <r>
          <rPr>
            <sz val="10"/>
            <rFont val="Arial"/>
            <family val="2"/>
          </rPr>
          <t xml:space="preserve">Q4 2025 deck ($110m Q1) + Q1 2026 deck ($300-350m Q2-Q4)</t>
        </r>
      </text>
    </comment>
    <comment ref="B21" authorId="0">
      <text>
        <r>
          <rPr>
            <sz val="10"/>
            <rFont val="Arial"/>
            <family val="2"/>
          </rPr>
          <t xml:space="preserve">ASSUMPTION: half of the lender-sizing back-solve (waterfall.py)</t>
        </r>
      </text>
    </comment>
    <comment ref="B22" authorId="0">
      <text>
        <r>
          <rPr>
            <sz val="10"/>
            <rFont val="Arial"/>
            <family val="2"/>
          </rPr>
          <t xml:space="preserve">ASSUMPTION: top of contract-market anchors, bottom of Sabel's $3.50-4.50</t>
        </r>
      </text>
    </comment>
    <comment ref="B23" authorId="0">
      <text>
        <r>
          <rPr>
            <sz val="10"/>
            <rFont val="Arial"/>
            <family val="2"/>
          </rPr>
          <t xml:space="preserve">ASSUMPTION (Calcasieu-like)</t>
        </r>
      </text>
    </comment>
    <comment ref="B24" authorId="0">
      <text>
        <r>
          <rPr>
            <sz val="10"/>
            <rFont val="Arial"/>
            <family val="2"/>
          </rPr>
          <t xml:space="preserve">Calcasieu 520 + Plaquemines 1,040</t>
        </r>
      </text>
    </comment>
    <comment ref="B25" authorId="0">
      <text>
        <r>
          <rPr>
            <sz val="10"/>
            <rFont val="Arial"/>
            <family val="2"/>
          </rPr>
          <t xml:space="preserve">ASSUMPTION</t>
        </r>
      </text>
    </comment>
    <comment ref="B26" authorId="0">
      <text>
        <r>
          <rPr>
            <sz val="10"/>
            <rFont val="Arial"/>
            <family val="2"/>
          </rPr>
          <t xml:space="preserve">ASSUMPTION</t>
        </r>
      </text>
    </comment>
    <comment ref="B27" authorId="0">
      <text>
        <r>
          <rPr>
            <sz val="10"/>
            <rFont val="Arial"/>
            <family val="2"/>
          </rPr>
          <t xml:space="preserve">ASSUMPTION: 20-year SPAs run off around 2049</t>
        </r>
      </text>
    </comment>
    <comment ref="B34" authorId="0">
      <text>
        <r>
          <rPr>
            <sz val="10"/>
            <rFont val="Arial"/>
            <family val="2"/>
          </rPr>
          <t xml:space="preserve">Aug 2026 outlook x 3.7 TBtu; 85 MTPA from 2030</t>
        </r>
      </text>
    </comment>
    <comment ref="B35" authorId="0">
      <text>
        <r>
          <rPr>
            <sz val="10"/>
            <rFont val="Arial"/>
            <family val="2"/>
          </rPr>
          <t xml:space="preserve">$1 sensitivity midpoints (Aug deck); 2030-31 ASSUMPTION</t>
        </r>
      </text>
    </comment>
    <comment ref="B36" authorId="0">
      <text>
        <r>
          <rPr>
            <sz val="10"/>
            <rFont val="Arial"/>
            <family val="2"/>
          </rPr>
          <t xml:space="preserve">CME settlements Oct 6 2026, JKM less 115% HH less $2</t>
        </r>
      </text>
    </comment>
    <comment ref="B37" authorId="0">
      <text>
        <r>
          <rPr>
            <sz val="10"/>
            <rFont val="Arial"/>
            <family val="2"/>
          </rPr>
          <t xml:space="preserve">ASSUMPTION</t>
        </r>
      </text>
    </comment>
    <comment ref="B38" authorId="0">
      <text>
        <r>
          <rPr>
            <sz val="10"/>
            <rFont val="Arial"/>
            <family val="2"/>
          </rPr>
          <t xml:space="preserve">2027 as 2026, half in 2028, none after (company: declines in 2028)</t>
        </r>
      </text>
    </comment>
    <comment ref="B39" authorId="0">
      <text>
        <r>
          <rPr>
            <sz val="10"/>
            <rFont val="Arial"/>
            <family val="2"/>
          </rPr>
          <t xml:space="preserve">ASSUMPTION</t>
        </r>
      </text>
    </comment>
    <comment ref="B40" authorId="0">
      <text>
        <r>
          <rPr>
            <sz val="10"/>
            <rFont val="Arial"/>
            <family val="2"/>
          </rPr>
          <t xml:space="preserve">ASSUMPTION</t>
        </r>
      </text>
    </comment>
  </commentList>
</comments>
</file>

<file path=xl/sharedStrings.xml><?xml version="1.0" encoding="utf-8"?>
<sst xmlns="http://schemas.openxmlformats.org/spreadsheetml/2006/main" count="110" uniqueCount="97">
  <si>
    <t xml:space="preserve">Venture Global (VG) model v7 - inputs (blue = input, yellow = key assumption)</t>
  </si>
  <si>
    <t xml:space="preserve">Share price, Oct 7 2026 close ($)</t>
  </si>
  <si>
    <t xml:space="preserve">Diluted shares (bn)</t>
  </si>
  <si>
    <t xml:space="preserve">Tax rate</t>
  </si>
  <si>
    <t xml:space="preserve">Discount rate, contracted cash and capex</t>
  </si>
  <si>
    <t xml:space="preserve">Discount rate, open cargoes</t>
  </si>
  <si>
    <t xml:space="preserve">Cost of net debt</t>
  </si>
  <si>
    <t xml:space="preserve">Net debt end-2026 ($bn)</t>
  </si>
  <si>
    <t xml:space="preserve">Series A preferred liquidation ($bn)</t>
  </si>
  <si>
    <t xml:space="preserve">Preferred dividend ($bn/yr)</t>
  </si>
  <si>
    <t xml:space="preserve">Minority share of EBITDA ($bn/yr)</t>
  </si>
  <si>
    <t xml:space="preserve">BP adjustment ($bn)</t>
  </si>
  <si>
    <t xml:space="preserve">Common dividend ($bn/yr)</t>
  </si>
  <si>
    <t xml:space="preserve">2026 volume (TBtu)</t>
  </si>
  <si>
    <t xml:space="preserve">2026 open volume (TBtu)</t>
  </si>
  <si>
    <t xml:space="preserve">2026 contracted fee</t>
  </si>
  <si>
    <t xml:space="preserve">2026 unsold fee assumption</t>
  </si>
  <si>
    <t xml:space="preserve">2026 EBITDA guide midpoint ($bn)</t>
  </si>
  <si>
    <t xml:space="preserve">Plaquemines basis cost 2026 ($bn)</t>
  </si>
  <si>
    <t xml:space="preserve">CP2 contract fee premium over Calcasieu ($/MMBtu)</t>
  </si>
  <si>
    <t xml:space="preserve">Long-run open fee from 2032 ($/MMBtu)</t>
  </si>
  <si>
    <t xml:space="preserve">Contract fee in terminal ($/MMBtu)</t>
  </si>
  <si>
    <t xml:space="preserve">Contracted volume threshold for CP2 premium (TBtu)</t>
  </si>
  <si>
    <t xml:space="preserve">Maintenance capex in terminal ($bn/yr)</t>
  </si>
  <si>
    <t xml:space="preserve">Terminal D&amp;A tax shield base ($bn/yr)</t>
  </si>
  <si>
    <t xml:space="preserve">Contract run-off year</t>
  </si>
  <si>
    <t xml:space="preserve">2026 all-in cost per MMBtu (calibrated to guidance)</t>
  </si>
  <si>
    <t xml:space="preserve">Underlying cost per MMBtu ex basis</t>
  </si>
  <si>
    <t xml:space="preserve">Annual inputs</t>
  </si>
  <si>
    <t xml:space="preserve">Item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</si>
  <si>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</si>
  <si>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</si>
  <si>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</si>
  <si>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</si>
  <si>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</si>
  <si>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Volume (TBtu)</t>
  </si>
  <si>
    <t xml:space="preserve">Open volume (TBtu)</t>
  </si>
  <si>
    <t xml:space="preserve">CME futures fee, JKM method ($/MMBtu)</t>
  </si>
  <si>
    <t xml:space="preserve">Contract fee ($/MMBtu)</t>
  </si>
  <si>
    <t xml:space="preserve">Plaquemines basis cost ($bn)</t>
  </si>
  <si>
    <t xml:space="preserve">Committed capex ($bn)</t>
  </si>
  <si>
    <t xml:space="preserve">D&amp;A ($bn)</t>
  </si>
  <si>
    <t xml:space="preserve">Annual model, central case ($bn unless stated)</t>
  </si>
  <si>
    <t xml:space="preserve">Year</t>
  </si>
  <si>
    <t xml:space="preserve">Contracted volume (TBtu)</t>
  </si>
  <si>
    <t xml:space="preserve">Contracted margin before costs</t>
  </si>
  <si>
    <t xml:space="preserve">CP2 contract premium</t>
  </si>
  <si>
    <t xml:space="preserve">Open margin before costs</t>
  </si>
  <si>
    <t xml:space="preserve">Operating cost</t>
  </si>
  <si>
    <t xml:space="preserve">EBITDA</t>
  </si>
  <si>
    <t xml:space="preserve">Cost on contracted volume</t>
  </si>
  <si>
    <t xml:space="preserve">Cost on open volume</t>
  </si>
  <si>
    <t xml:space="preserve">Contracted EBITDA</t>
  </si>
  <si>
    <t xml:space="preserve">Open EBITDA</t>
  </si>
  <si>
    <t xml:space="preserve">D&amp;A</t>
  </si>
  <si>
    <t xml:space="preserve">Interest on opening net debt</t>
  </si>
  <si>
    <t xml:space="preserve">Pre-tax income</t>
  </si>
  <si>
    <t xml:space="preserve">Tax</t>
  </si>
  <si>
    <t xml:space="preserve">Preferred and minority</t>
  </si>
  <si>
    <t xml:space="preserve">Net income to common</t>
  </si>
  <si>
    <t xml:space="preserve">EPS ($)</t>
  </si>
  <si>
    <t xml:space="preserve">Cash tax</t>
  </si>
  <si>
    <t xml:space="preserve">Capex</t>
  </si>
  <si>
    <t xml:space="preserve">Common dividend</t>
  </si>
  <si>
    <t xml:space="preserve">Free cash flow after dividends</t>
  </si>
  <si>
    <t xml:space="preserve">Closing net debt</t>
  </si>
  <si>
    <t xml:space="preserve">Net debt / EBITDA (x)</t>
  </si>
  <si>
    <t xml:space="preserve">Year index t</t>
  </si>
  <si>
    <t xml:space="preserve">Discount factor, contracted</t>
  </si>
  <si>
    <t xml:space="preserve">Discount factor, open</t>
  </si>
  <si>
    <t xml:space="preserve">Discount factor from end-2028, contracted</t>
  </si>
  <si>
    <t xml:space="preserve">Discount factor from end-2028, open</t>
  </si>
  <si>
    <t xml:space="preserve">Sum of the parts ($bn unless stated)</t>
  </si>
  <si>
    <t xml:space="preserve">PV contracted cash 2027-31</t>
  </si>
  <si>
    <t xml:space="preserve">PV open cargoes 2027-31</t>
  </si>
  <si>
    <t xml:space="preserve">PV committed capex</t>
  </si>
  <si>
    <t xml:space="preserve">PV contracted annuity 2032-2049</t>
  </si>
  <si>
    <t xml:space="preserve">PV open cargoes from 2032</t>
  </si>
  <si>
    <t xml:space="preserve">PV contracted volume turning open after 2049</t>
  </si>
  <si>
    <t xml:space="preserve">Less net debt end-2026</t>
  </si>
  <si>
    <t xml:space="preserve">Less preferred</t>
  </si>
  <si>
    <t xml:space="preserve">Less Calcasieu minority</t>
  </si>
  <si>
    <t xml:space="preserve">Less BP adjustment</t>
  </si>
  <si>
    <t xml:space="preserve">Equity value today</t>
  </si>
  <si>
    <t xml:space="preserve">Value per share today ($)</t>
  </si>
  <si>
    <t xml:space="preserve">Value at end-2028</t>
  </si>
  <si>
    <t xml:space="preserve">PV contracted cash 2029-31</t>
  </si>
  <si>
    <t xml:space="preserve">PV open cargoes 2029-31</t>
  </si>
  <si>
    <t xml:space="preserve">PV capex 2029-31</t>
  </si>
  <si>
    <t xml:space="preserve">Less net debt end-2028</t>
  </si>
  <si>
    <t xml:space="preserve">Value per share at end-2028 ($) = 24-month target</t>
  </si>
  <si>
    <t xml:space="preserve">Implied equity return a year, incl. dividends</t>
  </si>
  <si>
    <t xml:space="preserve">Share price ($)</t>
  </si>
  <si>
    <t xml:space="preserve">Value per share per $1 of long-run fee</t>
  </si>
  <si>
    <t xml:space="preserve">Long-run fee the price needs ($/MMBtu)</t>
  </si>
  <si>
    <t xml:space="preserve">Value per share today: long-run fee from 2032 (rows) x flat cost per MMBtu (columns), no basis cost</t>
  </si>
  <si>
    <t xml:space="preserve">Long-run fee \ cost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</si>
</sst>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00"/>
    <numFmt numFmtId="167" formatCode="0.0%"/>
    <numFmt numFmtId="168" formatCode="#,##0"/>
    <numFmt numFmtId="169" formatCode="0"/>
    <numFmt numFmtId="170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1</v>
      </c>
      <c r="B3" s="4" t="n">
        <v>13.05</v>
      </c>
      <c r="C3" s="2"/>
      <c r="D3" s="2"/>
      <c r="E3" s="2"/>
      <c r="F3" s="2"/>
    </row>
    <row r="4" customFormat="false" ht="15" hidden="false" customHeight="false" outlineLevel="0" collapsed="false">
      <c r="A4" s="3" t="s">
        <v>2</v>
      </c>
      <c r="B4" s="5" t="n">
        <v>2.643</v>
      </c>
      <c r="C4" s="2"/>
      <c r="D4" s="2"/>
      <c r="E4" s="2"/>
      <c r="F4" s="2"/>
    </row>
    <row r="5" customFormat="false" ht="15" hidden="false" customHeight="false" outlineLevel="0" collapsed="false">
      <c r="A5" s="3" t="s">
        <v>3</v>
      </c>
      <c r="B5" s="6" t="n">
        <v>0.19</v>
      </c>
      <c r="C5" s="2"/>
      <c r="D5" s="2"/>
      <c r="E5" s="2"/>
      <c r="F5" s="2"/>
    </row>
    <row r="6" customFormat="false" ht="15" hidden="false" customHeight="false" outlineLevel="0" collapsed="false">
      <c r="A6" s="3" t="s">
        <v>4</v>
      </c>
      <c r="B6" s="7" t="n">
        <v>0.07</v>
      </c>
      <c r="C6" s="2"/>
      <c r="D6" s="2"/>
      <c r="E6" s="2"/>
      <c r="F6" s="2"/>
    </row>
    <row r="7" customFormat="false" ht="15" hidden="false" customHeight="false" outlineLevel="0" collapsed="false">
      <c r="A7" s="3" t="s">
        <v>5</v>
      </c>
      <c r="B7" s="7" t="n">
        <v>0.1</v>
      </c>
      <c r="C7" s="2"/>
      <c r="D7" s="2"/>
      <c r="E7" s="2"/>
      <c r="F7" s="2"/>
    </row>
    <row r="8" customFormat="false" ht="15" hidden="false" customHeight="false" outlineLevel="0" collapsed="false">
      <c r="A8" s="3" t="s">
        <v>6</v>
      </c>
      <c r="B8" s="6" t="n">
        <v>0.063</v>
      </c>
      <c r="C8" s="2"/>
      <c r="D8" s="2"/>
      <c r="E8" s="2"/>
      <c r="F8" s="2"/>
    </row>
    <row r="9" customFormat="false" ht="15" hidden="false" customHeight="false" outlineLevel="0" collapsed="false">
      <c r="A9" s="3" t="s">
        <v>7</v>
      </c>
      <c r="B9" s="4" t="n">
        <v>40.449574</v>
      </c>
      <c r="C9" s="2"/>
      <c r="D9" s="2"/>
      <c r="E9" s="2"/>
      <c r="F9" s="2"/>
    </row>
    <row r="10" customFormat="false" ht="15" hidden="false" customHeight="false" outlineLevel="0" collapsed="false">
      <c r="A10" s="3" t="s">
        <v>8</v>
      </c>
      <c r="B10" s="4" t="n">
        <v>3</v>
      </c>
      <c r="C10" s="2"/>
      <c r="D10" s="2"/>
      <c r="E10" s="2"/>
      <c r="F10" s="2"/>
    </row>
    <row r="11" customFormat="false" ht="15" hidden="false" customHeight="false" outlineLevel="0" collapsed="false">
      <c r="A11" s="3" t="s">
        <v>9</v>
      </c>
      <c r="B11" s="5" t="n">
        <v>0.268</v>
      </c>
      <c r="C11" s="2"/>
      <c r="D11" s="2"/>
      <c r="E11" s="2"/>
      <c r="F11" s="2"/>
    </row>
    <row r="12" customFormat="false" ht="15" hidden="false" customHeight="false" outlineLevel="0" collapsed="false">
      <c r="A12" s="3" t="s">
        <v>10</v>
      </c>
      <c r="B12" s="4" t="n">
        <v>0.16</v>
      </c>
      <c r="C12" s="2"/>
      <c r="D12" s="2"/>
      <c r="E12" s="2"/>
      <c r="F12" s="2"/>
    </row>
    <row r="13" customFormat="false" ht="15" hidden="false" customHeight="false" outlineLevel="0" collapsed="false">
      <c r="A13" s="3" t="s">
        <v>11</v>
      </c>
      <c r="B13" s="4" t="n">
        <v>1.4985</v>
      </c>
      <c r="C13" s="2"/>
      <c r="D13" s="2"/>
      <c r="E13" s="2"/>
      <c r="F13" s="2"/>
    </row>
    <row r="14" customFormat="false" ht="15" hidden="false" customHeight="false" outlineLevel="0" collapsed="false">
      <c r="A14" s="3" t="s">
        <v>12</v>
      </c>
      <c r="B14" s="4" t="n">
        <v>0.39968</v>
      </c>
      <c r="C14" s="2"/>
      <c r="D14" s="2"/>
      <c r="E14" s="2"/>
      <c r="F14" s="2"/>
    </row>
    <row r="15" customFormat="false" ht="15" hidden="false" customHeight="false" outlineLevel="0" collapsed="false">
      <c r="A15" s="3" t="s">
        <v>13</v>
      </c>
      <c r="B15" s="8" t="n">
        <v>1883.3</v>
      </c>
      <c r="C15" s="2"/>
      <c r="D15" s="2"/>
      <c r="E15" s="2"/>
      <c r="F15" s="2"/>
    </row>
    <row r="16" customFormat="false" ht="15" hidden="false" customHeight="false" outlineLevel="0" collapsed="false">
      <c r="A16" s="3" t="s">
        <v>14</v>
      </c>
      <c r="B16" s="8" t="n">
        <v>195</v>
      </c>
      <c r="C16" s="2"/>
      <c r="D16" s="2"/>
      <c r="E16" s="2"/>
      <c r="F16" s="2"/>
    </row>
    <row r="17" customFormat="false" ht="15" hidden="false" customHeight="false" outlineLevel="0" collapsed="false">
      <c r="A17" s="3" t="s">
        <v>15</v>
      </c>
      <c r="B17" s="4" t="n">
        <v>5.05</v>
      </c>
      <c r="C17" s="2"/>
      <c r="D17" s="2"/>
      <c r="E17" s="2"/>
      <c r="F17" s="2"/>
    </row>
    <row r="18" customFormat="false" ht="15" hidden="false" customHeight="false" outlineLevel="0" collapsed="false">
      <c r="A18" s="3" t="s">
        <v>16</v>
      </c>
      <c r="B18" s="4" t="n">
        <v>13</v>
      </c>
      <c r="C18" s="2"/>
      <c r="D18" s="2"/>
      <c r="E18" s="2"/>
      <c r="F18" s="2"/>
    </row>
    <row r="19" customFormat="false" ht="15" hidden="false" customHeight="false" outlineLevel="0" collapsed="false">
      <c r="A19" s="3" t="s">
        <v>17</v>
      </c>
      <c r="B19" s="4" t="n">
        <v>8.9</v>
      </c>
      <c r="C19" s="2"/>
      <c r="D19" s="2"/>
      <c r="E19" s="2"/>
      <c r="F19" s="2"/>
    </row>
    <row r="20" customFormat="false" ht="15" hidden="false" customHeight="false" outlineLevel="0" collapsed="false">
      <c r="A20" s="3" t="s">
        <v>18</v>
      </c>
      <c r="B20" s="5" t="n">
        <v>0.435</v>
      </c>
      <c r="C20" s="2"/>
      <c r="D20" s="2"/>
      <c r="E20" s="2"/>
      <c r="F20" s="2"/>
    </row>
    <row r="21" customFormat="false" ht="15" hidden="false" customHeight="false" outlineLevel="0" collapsed="false">
      <c r="A21" s="3" t="s">
        <v>19</v>
      </c>
      <c r="B21" s="9" t="n">
        <v>0.4</v>
      </c>
      <c r="C21" s="2"/>
      <c r="D21" s="2"/>
      <c r="E21" s="2"/>
      <c r="F21" s="2"/>
    </row>
    <row r="22" customFormat="false" ht="15" hidden="false" customHeight="false" outlineLevel="0" collapsed="false">
      <c r="A22" s="3" t="s">
        <v>20</v>
      </c>
      <c r="B22" s="9" t="n">
        <v>3.5</v>
      </c>
      <c r="C22" s="2"/>
      <c r="D22" s="2"/>
      <c r="E22" s="2"/>
      <c r="F22" s="2"/>
    </row>
    <row r="23" customFormat="false" ht="15" hidden="false" customHeight="false" outlineLevel="0" collapsed="false">
      <c r="A23" s="3" t="s">
        <v>21</v>
      </c>
      <c r="B23" s="4" t="n">
        <v>2.45</v>
      </c>
      <c r="C23" s="2"/>
      <c r="D23" s="2"/>
      <c r="E23" s="2"/>
      <c r="F23" s="2"/>
    </row>
    <row r="24" customFormat="false" ht="15" hidden="false" customHeight="false" outlineLevel="0" collapsed="false">
      <c r="A24" s="3" t="s">
        <v>22</v>
      </c>
      <c r="B24" s="8" t="n">
        <v>1560</v>
      </c>
      <c r="C24" s="2"/>
      <c r="D24" s="2"/>
      <c r="E24" s="2"/>
      <c r="F24" s="2"/>
    </row>
    <row r="25" customFormat="false" ht="15" hidden="false" customHeight="false" outlineLevel="0" collapsed="false">
      <c r="A25" s="3" t="s">
        <v>23</v>
      </c>
      <c r="B25" s="4" t="n">
        <v>1</v>
      </c>
      <c r="C25" s="2"/>
      <c r="D25" s="2"/>
      <c r="E25" s="2"/>
      <c r="F25" s="2"/>
    </row>
    <row r="26" customFormat="false" ht="15" hidden="false" customHeight="false" outlineLevel="0" collapsed="false">
      <c r="A26" s="3" t="s">
        <v>24</v>
      </c>
      <c r="B26" s="4" t="n">
        <v>2.6</v>
      </c>
      <c r="C26" s="2"/>
      <c r="D26" s="2"/>
      <c r="E26" s="2"/>
      <c r="F26" s="2"/>
    </row>
    <row r="27" customFormat="false" ht="15" hidden="false" customHeight="false" outlineLevel="0" collapsed="false">
      <c r="A27" s="3" t="s">
        <v>25</v>
      </c>
      <c r="B27" s="10" t="n">
        <v>2049</v>
      </c>
      <c r="C27" s="2"/>
      <c r="D27" s="2"/>
      <c r="E27" s="2"/>
      <c r="F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</row>
    <row r="29" customFormat="false" ht="15" hidden="false" customHeight="false" outlineLevel="0" collapsed="false">
      <c r="A29" s="2" t="s">
        <v>26</v>
      </c>
      <c r="B29" s="11" t="n">
        <f aca="false">(Inputs!$B$15-Inputs!$B$16)*Inputs!$B$17/Inputs!$B$15+Inputs!$B$16*Inputs!$B$18/Inputs!$B$15-Inputs!$B$19*1000/Inputs!$B$15</f>
        <v>1.14740880369564</v>
      </c>
      <c r="C29" s="2"/>
      <c r="D29" s="2"/>
      <c r="E29" s="2"/>
      <c r="F29" s="2"/>
    </row>
    <row r="30" customFormat="false" ht="15" hidden="false" customHeight="false" outlineLevel="0" collapsed="false">
      <c r="A30" s="2" t="s">
        <v>27</v>
      </c>
      <c r="B30" s="11" t="n">
        <f aca="false">Inputs!$B$29-Inputs!$B$20*1000/Inputs!$B$15</f>
        <v>0.916431264270165</v>
      </c>
      <c r="C30" s="2"/>
      <c r="D30" s="2"/>
      <c r="E30" s="2"/>
      <c r="F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</row>
    <row r="32" customFormat="false" ht="15" hidden="false" customHeight="false" outlineLevel="0" collapsed="false">
      <c r="A32" s="1" t="s">
        <v>28</v>
      </c>
      <c r="B32" s="2"/>
      <c r="C32" s="2"/>
      <c r="D32" s="2"/>
      <c r="E32" s="2"/>
      <c r="F32" s="2"/>
    </row>
    <row r="33" customFormat="false" ht="15" hidden="false" customHeight="false" outlineLevel="0" collapsed="false">
      <c r="A33" s="2" t="s">
        <v>29</v>
      </c>
      <c r="B33" s="1" t="s">
        <v>30</v>
      </c>
      <c r="C33" s="1" t="s">
        <v>31</v>
      </c>
      <c r="D33" s="1" t="s">
        <v>32</v>
      </c>
      <c r="E33" s="1" t="s">
        <v>33</v>
      </c>
      <c r="F33" s="1" t="s">
        <v>34</v>
      </c>
    </row>
    <row r="34" customFormat="false" ht="15" hidden="false" customHeight="false" outlineLevel="0" collapsed="false">
      <c r="A34" s="2" t="s">
        <v>35</v>
      </c>
      <c r="B34" s="8" t="n">
        <v>2220</v>
      </c>
      <c r="C34" s="8" t="n">
        <v>3330</v>
      </c>
      <c r="D34" s="8" t="n">
        <v>4255</v>
      </c>
      <c r="E34" s="8" t="n">
        <v>4420</v>
      </c>
      <c r="F34" s="8" t="n">
        <v>4420</v>
      </c>
    </row>
    <row r="35" customFormat="false" ht="15" hidden="false" customHeight="false" outlineLevel="0" collapsed="false">
      <c r="A35" s="2" t="s">
        <v>36</v>
      </c>
      <c r="B35" s="8" t="n">
        <v>675</v>
      </c>
      <c r="C35" s="8" t="n">
        <v>1625</v>
      </c>
      <c r="D35" s="8" t="n">
        <v>2475</v>
      </c>
      <c r="E35" s="8" t="n">
        <v>1900</v>
      </c>
      <c r="F35" s="8" t="n">
        <v>1664</v>
      </c>
    </row>
    <row r="36" customFormat="false" ht="15" hidden="false" customHeight="false" outlineLevel="0" collapsed="false">
      <c r="A36" s="2" t="s">
        <v>37</v>
      </c>
      <c r="B36" s="4" t="n">
        <v>14.9215541666667</v>
      </c>
      <c r="C36" s="4" t="n">
        <v>8.051875</v>
      </c>
      <c r="D36" s="4" t="n">
        <v>5.20444583333333</v>
      </c>
      <c r="E36" s="4" t="n">
        <v>3.8404875</v>
      </c>
      <c r="F36" s="4" t="n">
        <v>2.49655</v>
      </c>
    </row>
    <row r="37" customFormat="false" ht="15" hidden="false" customHeight="false" outlineLevel="0" collapsed="false">
      <c r="A37" s="2" t="s">
        <v>38</v>
      </c>
      <c r="B37" s="4" t="n">
        <v>3</v>
      </c>
      <c r="C37" s="4" t="n">
        <v>2.6</v>
      </c>
      <c r="D37" s="4" t="n">
        <v>2.45</v>
      </c>
      <c r="E37" s="4" t="n">
        <v>2.45</v>
      </c>
      <c r="F37" s="4" t="n">
        <v>2.45</v>
      </c>
    </row>
    <row r="38" customFormat="false" ht="15" hidden="false" customHeight="false" outlineLevel="0" collapsed="false">
      <c r="A38" s="2" t="s">
        <v>39</v>
      </c>
      <c r="B38" s="5" t="n">
        <v>0.435</v>
      </c>
      <c r="C38" s="5" t="n">
        <v>0.2175</v>
      </c>
      <c r="D38" s="5" t="n">
        <v>0</v>
      </c>
      <c r="E38" s="5" t="n">
        <v>0</v>
      </c>
      <c r="F38" s="5" t="n">
        <v>0</v>
      </c>
    </row>
    <row r="39" customFormat="false" ht="15" hidden="false" customHeight="false" outlineLevel="0" collapsed="false">
      <c r="A39" s="2" t="s">
        <v>40</v>
      </c>
      <c r="B39" s="12" t="n">
        <v>10</v>
      </c>
      <c r="C39" s="12" t="n">
        <v>8</v>
      </c>
      <c r="D39" s="12" t="n">
        <v>5</v>
      </c>
      <c r="E39" s="12" t="n">
        <v>2</v>
      </c>
      <c r="F39" s="12" t="n">
        <v>1</v>
      </c>
    </row>
    <row r="40" customFormat="false" ht="15" hidden="false" customHeight="false" outlineLevel="0" collapsed="false">
      <c r="A40" s="2" t="s">
        <v>41</v>
      </c>
      <c r="B40" s="4" t="n">
        <v>1.25</v>
      </c>
      <c r="C40" s="4" t="n">
        <v>1.6</v>
      </c>
      <c r="D40" s="4" t="n">
        <v>2</v>
      </c>
      <c r="E40" s="4" t="n">
        <v>2.4</v>
      </c>
      <c r="F40" s="4" t="n">
        <v>2.6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1" t="s">
        <v>42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 t="s">
        <v>43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</row>
    <row r="3" customFormat="false" ht="15" hidden="false" customHeight="false" outlineLevel="0" collapsed="false">
      <c r="A3" s="2" t="s">
        <v>35</v>
      </c>
      <c r="B3" s="13" t="n">
        <f aca="false">Inputs!B$34</f>
        <v>2220</v>
      </c>
      <c r="C3" s="13" t="n">
        <f aca="false">Inputs!C$34</f>
        <v>3330</v>
      </c>
      <c r="D3" s="13" t="n">
        <f aca="false">Inputs!D$34</f>
        <v>4255</v>
      </c>
      <c r="E3" s="13" t="n">
        <f aca="false">Inputs!E$34</f>
        <v>4420</v>
      </c>
      <c r="F3" s="13" t="n">
        <f aca="false">Inputs!F$34</f>
        <v>4420</v>
      </c>
    </row>
    <row r="4" customFormat="false" ht="15" hidden="false" customHeight="false" outlineLevel="0" collapsed="false">
      <c r="A4" s="2" t="s">
        <v>36</v>
      </c>
      <c r="B4" s="13" t="n">
        <f aca="false">Inputs!B$35</f>
        <v>675</v>
      </c>
      <c r="C4" s="13" t="n">
        <f aca="false">Inputs!C$35</f>
        <v>1625</v>
      </c>
      <c r="D4" s="13" t="n">
        <f aca="false">Inputs!D$35</f>
        <v>2475</v>
      </c>
      <c r="E4" s="13" t="n">
        <f aca="false">Inputs!E$35</f>
        <v>1900</v>
      </c>
      <c r="F4" s="13" t="n">
        <f aca="false">Inputs!F$35</f>
        <v>1664</v>
      </c>
    </row>
    <row r="5" customFormat="false" ht="15" hidden="false" customHeight="false" outlineLevel="0" collapsed="false">
      <c r="A5" s="2" t="s">
        <v>44</v>
      </c>
      <c r="B5" s="13" t="n">
        <f aca="false">B3-B4</f>
        <v>1545</v>
      </c>
      <c r="C5" s="13" t="n">
        <f aca="false">C3-C4</f>
        <v>1705</v>
      </c>
      <c r="D5" s="13" t="n">
        <f aca="false">D3-D4</f>
        <v>1780</v>
      </c>
      <c r="E5" s="13" t="n">
        <f aca="false">E3-E4</f>
        <v>2520</v>
      </c>
      <c r="F5" s="13" t="n">
        <f aca="false">F3-F4</f>
        <v>2756</v>
      </c>
    </row>
    <row r="6" customFormat="false" ht="15" hidden="false" customHeight="false" outlineLevel="0" collapsed="false">
      <c r="A6" s="2" t="s">
        <v>45</v>
      </c>
      <c r="B6" s="14" t="n">
        <f aca="false">B5*Inputs!B$37/1000</f>
        <v>4.635</v>
      </c>
      <c r="C6" s="14" t="n">
        <f aca="false">C5*Inputs!C$37/1000</f>
        <v>4.433</v>
      </c>
      <c r="D6" s="14" t="n">
        <f aca="false">D5*Inputs!D$37/1000</f>
        <v>4.361</v>
      </c>
      <c r="E6" s="14" t="n">
        <f aca="false">E5*Inputs!E$37/1000</f>
        <v>6.174</v>
      </c>
      <c r="F6" s="14" t="n">
        <f aca="false">F5*Inputs!F$37/1000</f>
        <v>6.7522</v>
      </c>
    </row>
    <row r="7" customFormat="false" ht="15" hidden="false" customHeight="false" outlineLevel="0" collapsed="false">
      <c r="A7" s="2" t="s">
        <v>46</v>
      </c>
      <c r="B7" s="14" t="n">
        <f aca="false">IF(2027&gt;=2030,MAX(0,B5-Inputs!$B$24)*Inputs!$B$21/1000,0)</f>
        <v>0</v>
      </c>
      <c r="C7" s="14" t="n">
        <f aca="false">IF(2028&gt;=2030,MAX(0,C5-Inputs!$B$24)*Inputs!$B$21/1000,0)</f>
        <v>0</v>
      </c>
      <c r="D7" s="14" t="n">
        <f aca="false">IF(2029&gt;=2030,MAX(0,D5-Inputs!$B$24)*Inputs!$B$21/1000,0)</f>
        <v>0</v>
      </c>
      <c r="E7" s="14" t="n">
        <f aca="false">IF(2030&gt;=2030,MAX(0,E5-Inputs!$B$24)*Inputs!$B$21/1000,0)</f>
        <v>0.384</v>
      </c>
      <c r="F7" s="14" t="n">
        <f aca="false">IF(2031&gt;=2030,MAX(0,F5-Inputs!$B$24)*Inputs!$B$21/1000,0)</f>
        <v>0.4784</v>
      </c>
    </row>
    <row r="8" customFormat="false" ht="15" hidden="false" customHeight="false" outlineLevel="0" collapsed="false">
      <c r="A8" s="2" t="s">
        <v>47</v>
      </c>
      <c r="B8" s="14" t="n">
        <f aca="false">B4*Inputs!B$36/1000</f>
        <v>10.0720490625</v>
      </c>
      <c r="C8" s="14" t="n">
        <f aca="false">C4*Inputs!C$36/1000</f>
        <v>13.084296875</v>
      </c>
      <c r="D8" s="14" t="n">
        <f aca="false">D4*Inputs!D$36/1000</f>
        <v>12.8810034375</v>
      </c>
      <c r="E8" s="14" t="n">
        <f aca="false">E4*Inputs!E$36/1000</f>
        <v>7.29692625</v>
      </c>
      <c r="F8" s="14" t="n">
        <f aca="false">F4*Inputs!F$36/1000</f>
        <v>4.1542592</v>
      </c>
    </row>
    <row r="9" customFormat="false" ht="15" hidden="false" customHeight="false" outlineLevel="0" collapsed="false">
      <c r="A9" s="2" t="s">
        <v>48</v>
      </c>
      <c r="B9" s="14" t="n">
        <f aca="false">Inputs!$B$30*B3/1000+Inputs!B$38</f>
        <v>2.46947740667977</v>
      </c>
      <c r="C9" s="14" t="n">
        <f aca="false">Inputs!$B$30*C3/1000+Inputs!C$38</f>
        <v>3.26921611001965</v>
      </c>
      <c r="D9" s="14" t="n">
        <f aca="false">Inputs!$B$30*D3/1000+Inputs!D$38</f>
        <v>3.89941502946955</v>
      </c>
      <c r="E9" s="14" t="n">
        <f aca="false">Inputs!$B$30*E3/1000+Inputs!E$38</f>
        <v>4.05062618807413</v>
      </c>
      <c r="F9" s="14" t="n">
        <f aca="false">Inputs!$B$30*F3/1000+Inputs!F$38</f>
        <v>4.05062618807413</v>
      </c>
    </row>
    <row r="10" customFormat="false" ht="15" hidden="false" customHeight="false" outlineLevel="0" collapsed="false">
      <c r="A10" s="2" t="s">
        <v>49</v>
      </c>
      <c r="B10" s="14" t="n">
        <f aca="false">B6+B7+B8-B9</f>
        <v>12.2375716558202</v>
      </c>
      <c r="C10" s="14" t="n">
        <f aca="false">C6+C7+C8-C9</f>
        <v>14.2480807649804</v>
      </c>
      <c r="D10" s="14" t="n">
        <f aca="false">D6+D7+D8-D9</f>
        <v>13.3425884080304</v>
      </c>
      <c r="E10" s="14" t="n">
        <f aca="false">E6+E7+E8-E9</f>
        <v>9.80430006192588</v>
      </c>
      <c r="F10" s="14" t="n">
        <f aca="false">F6+F7+F8-F9</f>
        <v>7.33423301192588</v>
      </c>
    </row>
    <row r="11" customFormat="false" ht="15" hidden="false" customHeight="false" outlineLevel="0" collapsed="false">
      <c r="A11" s="2" t="s">
        <v>50</v>
      </c>
      <c r="B11" s="14" t="n">
        <f aca="false">B9*B5/B3</f>
        <v>1.71862278978389</v>
      </c>
      <c r="C11" s="14" t="n">
        <f aca="false">C9*C5/C3</f>
        <v>1.67387791819324</v>
      </c>
      <c r="D11" s="14" t="n">
        <f aca="false">D9*D5/D3</f>
        <v>1.63124765040089</v>
      </c>
      <c r="E11" s="14" t="n">
        <f aca="false">E9*E5/E3</f>
        <v>2.30940678596081</v>
      </c>
      <c r="F11" s="14" t="n">
        <f aca="false">F9*F5/F3</f>
        <v>2.52568456432857</v>
      </c>
    </row>
    <row r="12" customFormat="false" ht="15" hidden="false" customHeight="false" outlineLevel="0" collapsed="false">
      <c r="A12" s="2" t="s">
        <v>51</v>
      </c>
      <c r="B12" s="14" t="n">
        <f aca="false">B9*B4/B3</f>
        <v>0.750854616895875</v>
      </c>
      <c r="C12" s="14" t="n">
        <f aca="false">C9*C4/C3</f>
        <v>1.5953381918264</v>
      </c>
      <c r="D12" s="14" t="n">
        <f aca="false">D9*D4/D3</f>
        <v>2.26816737906866</v>
      </c>
      <c r="E12" s="14" t="n">
        <f aca="false">E9*E4/E3</f>
        <v>1.74121940211331</v>
      </c>
      <c r="F12" s="14" t="n">
        <f aca="false">F9*F4/F3</f>
        <v>1.52494162374555</v>
      </c>
    </row>
    <row r="13" customFormat="false" ht="15" hidden="false" customHeight="false" outlineLevel="0" collapsed="false">
      <c r="A13" s="2" t="s">
        <v>52</v>
      </c>
      <c r="B13" s="14" t="n">
        <f aca="false">B6+B7-B11</f>
        <v>2.91637721021611</v>
      </c>
      <c r="C13" s="14" t="n">
        <f aca="false">C6+C7-C11</f>
        <v>2.75912208180676</v>
      </c>
      <c r="D13" s="14" t="n">
        <f aca="false">D6+D7-D11</f>
        <v>2.72975234959911</v>
      </c>
      <c r="E13" s="14" t="n">
        <f aca="false">E6+E7-E11</f>
        <v>4.24859321403919</v>
      </c>
      <c r="F13" s="14" t="n">
        <f aca="false">F6+F7-F11</f>
        <v>4.70491543567143</v>
      </c>
    </row>
    <row r="14" customFormat="false" ht="15" hidden="false" customHeight="false" outlineLevel="0" collapsed="false">
      <c r="A14" s="2" t="s">
        <v>53</v>
      </c>
      <c r="B14" s="14" t="n">
        <f aca="false">B8-B12</f>
        <v>9.32119444560413</v>
      </c>
      <c r="C14" s="14" t="n">
        <f aca="false">C8-C12</f>
        <v>11.4889586831736</v>
      </c>
      <c r="D14" s="14" t="n">
        <f aca="false">D8-D12</f>
        <v>10.6128360584313</v>
      </c>
      <c r="E14" s="14" t="n">
        <f aca="false">E8-E12</f>
        <v>5.55570684788669</v>
      </c>
      <c r="F14" s="14" t="n">
        <f aca="false">F8-F12</f>
        <v>2.62931757625445</v>
      </c>
    </row>
    <row r="15" customFormat="false" ht="15" hidden="false" customHeight="false" outlineLevel="0" collapsed="false">
      <c r="A15" s="2" t="s">
        <v>54</v>
      </c>
      <c r="B15" s="14" t="n">
        <f aca="false">Inputs!B$40</f>
        <v>1.25</v>
      </c>
      <c r="C15" s="14" t="n">
        <f aca="false">Inputs!C$40</f>
        <v>1.6</v>
      </c>
      <c r="D15" s="14" t="n">
        <f aca="false">Inputs!D$40</f>
        <v>2</v>
      </c>
      <c r="E15" s="14" t="n">
        <f aca="false">Inputs!E$40</f>
        <v>2.4</v>
      </c>
      <c r="F15" s="14" t="n">
        <f aca="false">Inputs!F$40</f>
        <v>2.6</v>
      </c>
    </row>
    <row r="16" customFormat="false" ht="15" hidden="false" customHeight="false" outlineLevel="0" collapsed="false">
      <c r="A16" s="2" t="s">
        <v>55</v>
      </c>
      <c r="B16" s="14" t="n">
        <f aca="false">Inputs!$B$9*Inputs!$B$8</f>
        <v>2.548323162</v>
      </c>
      <c r="C16" s="14" t="n">
        <f aca="false">B26*Inputs!$B$8</f>
        <v>2.72405465136035</v>
      </c>
      <c r="D16" s="14" t="n">
        <f aca="false">C26*Inputs!$B$8</f>
        <v>2.67656643878232</v>
      </c>
      <c r="E16" s="14" t="n">
        <f aca="false">D26*Inputs!$B$8</f>
        <v>2.48027117769159</v>
      </c>
      <c r="F16" s="14" t="n">
        <f aca="false">E26*Inputs!$B$8</f>
        <v>2.26192682372912</v>
      </c>
    </row>
    <row r="17" customFormat="false" ht="15" hidden="false" customHeight="false" outlineLevel="0" collapsed="false">
      <c r="A17" s="2" t="s">
        <v>56</v>
      </c>
      <c r="B17" s="14" t="n">
        <f aca="false">B10-B15-B16</f>
        <v>8.43924849382024</v>
      </c>
      <c r="C17" s="14" t="n">
        <f aca="false">C10-C15-C16</f>
        <v>9.92402611362</v>
      </c>
      <c r="D17" s="14" t="n">
        <f aca="false">D10-D15-D16</f>
        <v>8.66602196924812</v>
      </c>
      <c r="E17" s="14" t="n">
        <f aca="false">E10-E15-E16</f>
        <v>4.92402888423428</v>
      </c>
      <c r="F17" s="14" t="n">
        <f aca="false">F10-F15-F16</f>
        <v>2.47230618819676</v>
      </c>
    </row>
    <row r="18" customFormat="false" ht="15" hidden="false" customHeight="false" outlineLevel="0" collapsed="false">
      <c r="A18" s="2" t="s">
        <v>57</v>
      </c>
      <c r="B18" s="14" t="n">
        <f aca="false">Inputs!$B$5*MAX(0,B17)</f>
        <v>1.60345721382585</v>
      </c>
      <c r="C18" s="14" t="n">
        <f aca="false">Inputs!$B$5*MAX(0,C17)</f>
        <v>1.8855649615878</v>
      </c>
      <c r="D18" s="14" t="n">
        <f aca="false">Inputs!$B$5*MAX(0,D17)</f>
        <v>1.64654417415714</v>
      </c>
      <c r="E18" s="14" t="n">
        <f aca="false">Inputs!$B$5*MAX(0,E17)</f>
        <v>0.935565488004514</v>
      </c>
      <c r="F18" s="14" t="n">
        <f aca="false">Inputs!$B$5*MAX(0,F17)</f>
        <v>0.469738175757384</v>
      </c>
    </row>
    <row r="19" customFormat="false" ht="15" hidden="false" customHeight="false" outlineLevel="0" collapsed="false">
      <c r="A19" s="2" t="s">
        <v>58</v>
      </c>
      <c r="B19" s="14" t="n">
        <f aca="false">Inputs!$B$11+Inputs!$B$12</f>
        <v>0.428</v>
      </c>
      <c r="C19" s="14" t="n">
        <f aca="false">Inputs!$B$11+Inputs!$B$12</f>
        <v>0.428</v>
      </c>
      <c r="D19" s="14" t="n">
        <f aca="false">Inputs!$B$11+Inputs!$B$12</f>
        <v>0.428</v>
      </c>
      <c r="E19" s="14" t="n">
        <f aca="false">Inputs!$B$11+Inputs!$B$12</f>
        <v>0.428</v>
      </c>
      <c r="F19" s="14" t="n">
        <f aca="false">Inputs!$B$11+Inputs!$B$12</f>
        <v>0.428</v>
      </c>
    </row>
    <row r="20" customFormat="false" ht="15" hidden="false" customHeight="false" outlineLevel="0" collapsed="false">
      <c r="A20" s="2" t="s">
        <v>59</v>
      </c>
      <c r="B20" s="14" t="n">
        <f aca="false">B17-B18-B19</f>
        <v>6.40779127999439</v>
      </c>
      <c r="C20" s="14" t="n">
        <f aca="false">C17-C18-C19</f>
        <v>7.6104611520322</v>
      </c>
      <c r="D20" s="14" t="n">
        <f aca="false">D17-D18-D19</f>
        <v>6.59147779509098</v>
      </c>
      <c r="E20" s="14" t="n">
        <f aca="false">E17-E18-E19</f>
        <v>3.56046339622977</v>
      </c>
      <c r="F20" s="14" t="n">
        <f aca="false">F17-F18-F19</f>
        <v>1.57456801243938</v>
      </c>
    </row>
    <row r="21" customFormat="false" ht="15" hidden="false" customHeight="false" outlineLevel="0" collapsed="false">
      <c r="A21" s="2" t="s">
        <v>60</v>
      </c>
      <c r="B21" s="14" t="n">
        <f aca="false">B20/Inputs!$B$4</f>
        <v>2.42443862277503</v>
      </c>
      <c r="C21" s="14" t="n">
        <f aca="false">C20/Inputs!$B$4</f>
        <v>2.87947830194181</v>
      </c>
      <c r="D21" s="14" t="n">
        <f aca="false">D20/Inputs!$B$4</f>
        <v>2.49393787177109</v>
      </c>
      <c r="E21" s="14" t="n">
        <f aca="false">E20/Inputs!$B$4</f>
        <v>1.34712954832757</v>
      </c>
      <c r="F21" s="14" t="n">
        <f aca="false">F20/Inputs!$B$4</f>
        <v>0.595750288474981</v>
      </c>
    </row>
    <row r="22" customFormat="false" ht="15" hidden="false" customHeight="false" outlineLevel="0" collapsed="false">
      <c r="A22" s="2" t="s">
        <v>61</v>
      </c>
      <c r="B22" s="14" t="n">
        <f aca="false">Inputs!$B$5*MAX(0,B10-B16-(1+0.3*0))</f>
        <v>1.65095721382585</v>
      </c>
      <c r="C22" s="14" t="n">
        <f aca="false">Inputs!$B$5*MAX(0,C10-C16-(1+0.3*1))</f>
        <v>1.9425649615878</v>
      </c>
      <c r="D22" s="14" t="n">
        <f aca="false">Inputs!$B$5*MAX(0,D10-D16-(1+0.3*2))</f>
        <v>1.72254417415714</v>
      </c>
      <c r="E22" s="14" t="n">
        <f aca="false">Inputs!$B$5*MAX(0,E10-E16-(1+0.3*3))</f>
        <v>1.03056548800451</v>
      </c>
      <c r="F22" s="14" t="n">
        <f aca="false">Inputs!$B$5*MAX(0,F10-F16-(1+0.3*4))</f>
        <v>0.545738175757384</v>
      </c>
    </row>
    <row r="23" customFormat="false" ht="15" hidden="false" customHeight="false" outlineLevel="0" collapsed="false">
      <c r="A23" s="2" t="s">
        <v>62</v>
      </c>
      <c r="B23" s="14" t="n">
        <f aca="false">Inputs!B$39</f>
        <v>10</v>
      </c>
      <c r="C23" s="14" t="n">
        <f aca="false">Inputs!C$39</f>
        <v>8</v>
      </c>
      <c r="D23" s="14" t="n">
        <f aca="false">Inputs!D$39</f>
        <v>5</v>
      </c>
      <c r="E23" s="14" t="n">
        <f aca="false">Inputs!E$39</f>
        <v>2</v>
      </c>
      <c r="F23" s="14" t="n">
        <f aca="false">Inputs!F$39</f>
        <v>1</v>
      </c>
    </row>
    <row r="24" customFormat="false" ht="15" hidden="false" customHeight="false" outlineLevel="0" collapsed="false">
      <c r="A24" s="2" t="s">
        <v>63</v>
      </c>
      <c r="B24" s="14" t="n">
        <f aca="false">Inputs!$B$14</f>
        <v>0.39968</v>
      </c>
      <c r="C24" s="14" t="n">
        <f aca="false">Inputs!$B$14</f>
        <v>0.39968</v>
      </c>
      <c r="D24" s="14" t="n">
        <f aca="false">Inputs!$B$14</f>
        <v>0.39968</v>
      </c>
      <c r="E24" s="14" t="n">
        <f aca="false">Inputs!$B$14</f>
        <v>0.39968</v>
      </c>
      <c r="F24" s="14" t="n">
        <f aca="false">Inputs!$B$14</f>
        <v>0.39968</v>
      </c>
    </row>
    <row r="25" customFormat="false" ht="15" hidden="false" customHeight="false" outlineLevel="0" collapsed="false">
      <c r="A25" s="2" t="s">
        <v>64</v>
      </c>
      <c r="B25" s="14" t="n">
        <f aca="false">B10-B16-B22-B23-B19-B24</f>
        <v>-2.78938872000561</v>
      </c>
      <c r="C25" s="14" t="n">
        <f aca="false">C10-C16-C22-C23-C19-C24</f>
        <v>0.753781152032198</v>
      </c>
      <c r="D25" s="14" t="n">
        <f aca="false">D10-D16-D22-D23-D19-D24</f>
        <v>3.11579779509098</v>
      </c>
      <c r="E25" s="14" t="n">
        <f aca="false">E10-E16-E22-E23-E19-E24</f>
        <v>3.46578339622977</v>
      </c>
      <c r="F25" s="14" t="n">
        <f aca="false">F10-F16-F22-F23-F19-F24</f>
        <v>2.69888801243938</v>
      </c>
    </row>
    <row r="26" customFormat="false" ht="15" hidden="false" customHeight="false" outlineLevel="0" collapsed="false">
      <c r="A26" s="2" t="s">
        <v>65</v>
      </c>
      <c r="B26" s="14" t="n">
        <f aca="false">Inputs!$B$9-B25</f>
        <v>43.2389627200056</v>
      </c>
      <c r="C26" s="14" t="n">
        <f aca="false">B26-C25</f>
        <v>42.4851815679734</v>
      </c>
      <c r="D26" s="14" t="n">
        <f aca="false">C26-D25</f>
        <v>39.3693837728824</v>
      </c>
      <c r="E26" s="14" t="n">
        <f aca="false">D26-E25</f>
        <v>35.9036003766527</v>
      </c>
      <c r="F26" s="14" t="n">
        <f aca="false">E26-F25</f>
        <v>33.2047123642133</v>
      </c>
    </row>
    <row r="27" customFormat="false" ht="15" hidden="false" customHeight="false" outlineLevel="0" collapsed="false">
      <c r="A27" s="2" t="s">
        <v>66</v>
      </c>
      <c r="B27" s="14" t="n">
        <f aca="false">B26/B10</f>
        <v>3.53329597865447</v>
      </c>
      <c r="C27" s="14" t="n">
        <f aca="false">C26/C10</f>
        <v>2.98181785103265</v>
      </c>
      <c r="D27" s="14" t="n">
        <f aca="false">D26/D10</f>
        <v>2.95065564258786</v>
      </c>
      <c r="E27" s="14" t="n">
        <f aca="false">E26/E10</f>
        <v>3.66202586108937</v>
      </c>
      <c r="F27" s="14" t="n">
        <f aca="false">F26/F10</f>
        <v>4.52735989028717</v>
      </c>
    </row>
    <row r="28" customFormat="false" ht="15" hidden="false" customHeight="false" outlineLevel="0" collapsed="false">
      <c r="A28" s="2" t="s">
        <v>67</v>
      </c>
      <c r="B28" s="14" t="n">
        <f aca="false">1</f>
        <v>1</v>
      </c>
      <c r="C28" s="14" t="n">
        <f aca="false">2</f>
        <v>2</v>
      </c>
      <c r="D28" s="14" t="n">
        <f aca="false">3</f>
        <v>3</v>
      </c>
      <c r="E28" s="14" t="n">
        <f aca="false">4</f>
        <v>4</v>
      </c>
      <c r="F28" s="14" t="n">
        <f aca="false">5</f>
        <v>5</v>
      </c>
    </row>
    <row r="29" customFormat="false" ht="15" hidden="false" customHeight="false" outlineLevel="0" collapsed="false">
      <c r="A29" s="2" t="s">
        <v>68</v>
      </c>
      <c r="B29" s="14" t="n">
        <f aca="false">1/(1+Inputs!$B$6)^B28</f>
        <v>0.934579439252336</v>
      </c>
      <c r="C29" s="14" t="n">
        <f aca="false">1/(1+Inputs!$B$6)^C28</f>
        <v>0.873438728273212</v>
      </c>
      <c r="D29" s="14" t="n">
        <f aca="false">1/(1+Inputs!$B$6)^D28</f>
        <v>0.816297876890852</v>
      </c>
      <c r="E29" s="14" t="n">
        <f aca="false">1/(1+Inputs!$B$6)^E28</f>
        <v>0.762895212047525</v>
      </c>
      <c r="F29" s="14" t="n">
        <f aca="false">1/(1+Inputs!$B$6)^F28</f>
        <v>0.712986179483668</v>
      </c>
    </row>
    <row r="30" customFormat="false" ht="15" hidden="false" customHeight="false" outlineLevel="0" collapsed="false">
      <c r="A30" s="2" t="s">
        <v>69</v>
      </c>
      <c r="B30" s="14" t="n">
        <f aca="false">1/(1+Inputs!$B$7)^B28</f>
        <v>0.909090909090909</v>
      </c>
      <c r="C30" s="14" t="n">
        <f aca="false">1/(1+Inputs!$B$7)^C28</f>
        <v>0.826446280991735</v>
      </c>
      <c r="D30" s="14" t="n">
        <f aca="false">1/(1+Inputs!$B$7)^D28</f>
        <v>0.751314800901578</v>
      </c>
      <c r="E30" s="14" t="n">
        <f aca="false">1/(1+Inputs!$B$7)^E28</f>
        <v>0.683013455365071</v>
      </c>
      <c r="F30" s="14" t="n">
        <f aca="false">1/(1+Inputs!$B$7)^F28</f>
        <v>0.620921323059155</v>
      </c>
    </row>
    <row r="31" customFormat="false" ht="15" hidden="false" customHeight="false" outlineLevel="0" collapsed="false">
      <c r="A31" s="2" t="s">
        <v>70</v>
      </c>
      <c r="B31" s="14" t="n">
        <f aca="false">IF(1&gt;2,1/(1+Inputs!$B$6)^(1-2),0)</f>
        <v>0</v>
      </c>
      <c r="C31" s="14" t="n">
        <f aca="false">IF(2&gt;2,1/(1+Inputs!$B$6)^(2-2),0)</f>
        <v>0</v>
      </c>
      <c r="D31" s="14" t="n">
        <f aca="false">IF(3&gt;2,1/(1+Inputs!$B$6)^(3-2),0)</f>
        <v>0.934579439252336</v>
      </c>
      <c r="E31" s="14" t="n">
        <f aca="false">IF(4&gt;2,1/(1+Inputs!$B$6)^(4-2),0)</f>
        <v>0.873438728273212</v>
      </c>
      <c r="F31" s="14" t="n">
        <f aca="false">IF(5&gt;2,1/(1+Inputs!$B$6)^(5-2),0)</f>
        <v>0.816297876890852</v>
      </c>
    </row>
    <row r="32" customFormat="false" ht="15" hidden="false" customHeight="false" outlineLevel="0" collapsed="false">
      <c r="A32" s="2" t="s">
        <v>71</v>
      </c>
      <c r="B32" s="14" t="n">
        <f aca="false">IF(1&gt;2,1/(1+Inputs!$B$7)^(1-2),0)</f>
        <v>0</v>
      </c>
      <c r="C32" s="14" t="n">
        <f aca="false">IF(2&gt;2,1/(1+Inputs!$B$7)^(2-2),0)</f>
        <v>0</v>
      </c>
      <c r="D32" s="14" t="n">
        <f aca="false">IF(3&gt;2,1/(1+Inputs!$B$7)^(3-2),0)</f>
        <v>0.909090909090909</v>
      </c>
      <c r="E32" s="14" t="n">
        <f aca="false">IF(4&gt;2,1/(1+Inputs!$B$7)^(4-2),0)</f>
        <v>0.826446280991735</v>
      </c>
      <c r="F32" s="14" t="n">
        <f aca="false">IF(5&gt;2,1/(1+Inputs!$B$7)^(5-2),0)</f>
        <v>0.751314800901578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</cols>
  <sheetData>
    <row r="1" customFormat="false" ht="15" hidden="false" customHeight="false" outlineLevel="0" collapsed="false">
      <c r="A1" s="1" t="s">
        <v>72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2" t="s">
        <v>73</v>
      </c>
      <c r="B3" s="14" t="n">
        <f aca="false">SUMPRODUCT((Model!$B$13:$F$13*(1-Inputs!$B$5)+Inputs!$B$5*Model!$B$15:$F$15)*Model!$B$29:$F$29)</f>
        <v>12.8050302246295</v>
      </c>
    </row>
    <row r="4" customFormat="false" ht="15" hidden="false" customHeight="false" outlineLevel="0" collapsed="false">
      <c r="A4" s="2" t="s">
        <v>74</v>
      </c>
      <c r="B4" s="14" t="n">
        <f aca="false">SUMPRODUCT(Model!$B$14:$F$14*(1-Inputs!$B$5)*Model!$B$30:$F$30)</f>
        <v>25.4093946284986</v>
      </c>
    </row>
    <row r="5" customFormat="false" ht="15" hidden="false" customHeight="false" outlineLevel="0" collapsed="false">
      <c r="A5" s="2" t="s">
        <v>75</v>
      </c>
      <c r="B5" s="14" t="n">
        <f aca="false">-SUMPRODUCT(Model!$B$23:$F$23*Model!$B$29:$F$29)</f>
        <v>-22.653570206742</v>
      </c>
    </row>
    <row r="6" customFormat="false" ht="15" hidden="false" customHeight="false" outlineLevel="0" collapsed="false">
      <c r="A6" s="2" t="s">
        <v>76</v>
      </c>
      <c r="B6" s="14" t="n">
        <f aca="false">((Model!$F$5*(Inputs!$B$23-Inputs!$B$30)/1000+MAX(0,Model!$F$5-Inputs!$B$24)*Inputs!$B$21/1000-Inputs!$B$25*Model!$F$5/Model!$F$3)*(1-Inputs!$B$5)+Inputs!$B$5*Inputs!$B$26)*(1-(1+Inputs!$B$6)^-(Inputs!$B$27-2031))/Inputs!$B$6/(1+Inputs!$B$6)^5</f>
        <v>27.2530072475526</v>
      </c>
    </row>
    <row r="7" customFormat="false" ht="15" hidden="false" customHeight="false" outlineLevel="0" collapsed="false">
      <c r="A7" s="2" t="s">
        <v>77</v>
      </c>
      <c r="B7" s="14" t="n">
        <f aca="false">(Model!$F$4*(Inputs!$B$22-Inputs!$B$30)/1000-Inputs!$B$25*(1-Model!$F$5/Model!$F$3))*(1-Inputs!$B$5)/Inputs!$B$7/(1+Inputs!$B$7)^5</f>
        <v>19.7285090331355</v>
      </c>
    </row>
    <row r="8" customFormat="false" ht="15" hidden="false" customHeight="false" outlineLevel="0" collapsed="false">
      <c r="A8" s="2" t="s">
        <v>78</v>
      </c>
      <c r="B8" s="14" t="n">
        <f aca="false">(Model!$F$5*(Inputs!$B$22-Inputs!$B$30)/1000)*(1-Inputs!$B$5)/Inputs!$B$7/(1+Inputs!$B$7)^(5+(Inputs!$B$27-2031))</f>
        <v>6.44098805723481</v>
      </c>
    </row>
    <row r="9" customFormat="false" ht="15" hidden="false" customHeight="false" outlineLevel="0" collapsed="false">
      <c r="A9" s="2" t="s">
        <v>79</v>
      </c>
      <c r="B9" s="14" t="n">
        <f aca="false">-Inputs!$B$9</f>
        <v>-40.449574</v>
      </c>
    </row>
    <row r="10" customFormat="false" ht="15" hidden="false" customHeight="false" outlineLevel="0" collapsed="false">
      <c r="A10" s="2" t="s">
        <v>80</v>
      </c>
      <c r="B10" s="14" t="n">
        <f aca="false">-Inputs!$B$10</f>
        <v>-3</v>
      </c>
    </row>
    <row r="11" customFormat="false" ht="15" hidden="false" customHeight="false" outlineLevel="0" collapsed="false">
      <c r="A11" s="2" t="s">
        <v>81</v>
      </c>
      <c r="B11" s="14" t="n">
        <f aca="false">-Inputs!$B$12*(1-Inputs!$B$5)/Inputs!$B$6</f>
        <v>-1.85142857142857</v>
      </c>
    </row>
    <row r="12" customFormat="false" ht="15" hidden="false" customHeight="false" outlineLevel="0" collapsed="false">
      <c r="A12" s="2" t="s">
        <v>82</v>
      </c>
      <c r="B12" s="14" t="n">
        <f aca="false">-Inputs!$B$13</f>
        <v>-1.4985</v>
      </c>
    </row>
    <row r="13" customFormat="false" ht="15" hidden="false" customHeight="false" outlineLevel="0" collapsed="false">
      <c r="A13" s="2" t="s">
        <v>83</v>
      </c>
      <c r="B13" s="14" t="n">
        <f aca="false">SUM(B3:B12)</f>
        <v>22.1838564128804</v>
      </c>
    </row>
    <row r="14" customFormat="false" ht="15" hidden="false" customHeight="false" outlineLevel="0" collapsed="false">
      <c r="A14" s="1" t="s">
        <v>84</v>
      </c>
      <c r="B14" s="14" t="n">
        <f aca="false">B13/Inputs!$B$4</f>
        <v>8.39343791633766</v>
      </c>
    </row>
    <row r="15" customFormat="false" ht="15" hidden="false" customHeight="false" outlineLevel="0" collapsed="false">
      <c r="A15" s="1" t="s">
        <v>85</v>
      </c>
      <c r="B15" s="2"/>
    </row>
    <row r="16" customFormat="false" ht="15" hidden="false" customHeight="false" outlineLevel="0" collapsed="false">
      <c r="A16" s="2" t="s">
        <v>86</v>
      </c>
      <c r="B16" s="14" t="n">
        <f aca="false">SUMPRODUCT((Model!$B$13:$F$13*(1-Inputs!$B$5)+Inputs!$B$5*Model!$B$15:$F$15)*Model!$B$31:$F$31)</f>
        <v>9.33984108982051</v>
      </c>
    </row>
    <row r="17" customFormat="false" ht="15" hidden="false" customHeight="false" outlineLevel="0" collapsed="false">
      <c r="A17" s="2" t="s">
        <v>87</v>
      </c>
      <c r="B17" s="14" t="n">
        <f aca="false">SUMPRODUCT(Model!$B$14:$F$14*(1-Inputs!$B$5)*Model!$B$32:$F$32)</f>
        <v>13.1341267160794</v>
      </c>
    </row>
    <row r="18" customFormat="false" ht="15" hidden="false" customHeight="false" outlineLevel="0" collapsed="false">
      <c r="A18" s="2" t="s">
        <v>88</v>
      </c>
      <c r="B18" s="14" t="n">
        <f aca="false">-SUMPRODUCT(Model!$B$23:$F$23*Model!$B$31:$F$31)</f>
        <v>-7.23607252969896</v>
      </c>
    </row>
    <row r="19" customFormat="false" ht="15" hidden="false" customHeight="false" outlineLevel="0" collapsed="false">
      <c r="A19" s="2" t="s">
        <v>76</v>
      </c>
      <c r="B19" s="14" t="n">
        <f aca="false">((Model!$F$5*(Inputs!$B$23-Inputs!$B$30)/1000+MAX(0,Model!$F$5-Inputs!$B$24)*Inputs!$B$21/1000-Inputs!$B$25*Model!$F$5/Model!$F$3)*(1-Inputs!$B$5)+Inputs!$B$5*Inputs!$B$26)*(1-(1+Inputs!$B$6)^-(Inputs!$B$27-2031))/Inputs!$B$6/(1+Inputs!$B$6)^3</f>
        <v>31.201967997723</v>
      </c>
    </row>
    <row r="20" customFormat="false" ht="15" hidden="false" customHeight="false" outlineLevel="0" collapsed="false">
      <c r="A20" s="2" t="s">
        <v>77</v>
      </c>
      <c r="B20" s="14" t="n">
        <f aca="false">(Model!$F$4*(Inputs!$B$22-Inputs!$B$30)/1000-Inputs!$B$25*(1-Model!$F$5/Model!$F$3))*(1-Inputs!$B$5)/Inputs!$B$7/(1+Inputs!$B$7)^3</f>
        <v>23.871495930094</v>
      </c>
    </row>
    <row r="21" customFormat="false" ht="15" hidden="false" customHeight="false" outlineLevel="0" collapsed="false">
      <c r="A21" s="2" t="s">
        <v>78</v>
      </c>
      <c r="B21" s="14" t="n">
        <f aca="false">(Model!$F$5*(Inputs!$B$22-Inputs!$B$30)/1000)*(1-Inputs!$B$5)/Inputs!$B$7/(1+Inputs!$B$7)^(3+(Inputs!$B$27-2031))</f>
        <v>7.79359554925412</v>
      </c>
    </row>
    <row r="22" customFormat="false" ht="15" hidden="false" customHeight="false" outlineLevel="0" collapsed="false">
      <c r="A22" s="2" t="s">
        <v>89</v>
      </c>
      <c r="B22" s="14" t="n">
        <f aca="false">-Model!$C$26</f>
        <v>-42.4851815679734</v>
      </c>
    </row>
    <row r="23" customFormat="false" ht="15" hidden="false" customHeight="false" outlineLevel="0" collapsed="false">
      <c r="A23" s="2" t="s">
        <v>80</v>
      </c>
      <c r="B23" s="14" t="n">
        <f aca="false">-Inputs!$B$10</f>
        <v>-3</v>
      </c>
    </row>
    <row r="24" customFormat="false" ht="15" hidden="false" customHeight="false" outlineLevel="0" collapsed="false">
      <c r="A24" s="2" t="s">
        <v>81</v>
      </c>
      <c r="B24" s="14" t="n">
        <f aca="false">-Inputs!$B$12*(1-Inputs!$B$5)/Inputs!$B$6</f>
        <v>-1.85142857142857</v>
      </c>
    </row>
    <row r="25" customFormat="false" ht="15" hidden="false" customHeight="false" outlineLevel="0" collapsed="false">
      <c r="A25" s="2" t="s">
        <v>82</v>
      </c>
      <c r="B25" s="14" t="n">
        <f aca="false">-Inputs!$B$13</f>
        <v>-1.4985</v>
      </c>
    </row>
    <row r="26" customFormat="false" ht="15" hidden="false" customHeight="false" outlineLevel="0" collapsed="false">
      <c r="A26" s="1" t="s">
        <v>90</v>
      </c>
      <c r="B26" s="14" t="n">
        <f aca="false">SUM(B16:B25)/Inputs!$B$4</f>
        <v>11.074477719966</v>
      </c>
    </row>
    <row r="27" customFormat="false" ht="15" hidden="false" customHeight="false" outlineLevel="0" collapsed="false">
      <c r="A27" s="2" t="s">
        <v>91</v>
      </c>
      <c r="B27" s="15" t="n">
        <f aca="false">((B26+2*0.16)/B14)^(1/2.23)-1</f>
        <v>0.146914872264131</v>
      </c>
    </row>
    <row r="28" customFormat="false" ht="15" hidden="false" customHeight="false" outlineLevel="0" collapsed="false">
      <c r="A28" s="2" t="s">
        <v>92</v>
      </c>
      <c r="B28" s="16" t="n">
        <f aca="false">Inputs!$B$3</f>
        <v>13.05</v>
      </c>
    </row>
    <row r="29" customFormat="false" ht="15" hidden="false" customHeight="false" outlineLevel="0" collapsed="false">
      <c r="A29" s="2" t="s">
        <v>93</v>
      </c>
      <c r="B29" s="14" t="n">
        <f aca="false">((Model!$F$4/1000)*(1-Inputs!$B$5)/Inputs!$B$7/(1+Inputs!$B$7)^5+(Model!$F$5/1000)*(1-Inputs!$B$5)/Inputs!$B$7/(1+Inputs!$B$7)^(5+(Inputs!$B$27-2031)))/Inputs!$B$4</f>
        <v>4.10975576392591</v>
      </c>
    </row>
    <row r="30" customFormat="false" ht="15" hidden="false" customHeight="false" outlineLevel="0" collapsed="false">
      <c r="A30" s="2" t="s">
        <v>94</v>
      </c>
      <c r="B30" s="14" t="n">
        <f aca="false">Inputs!$B$22+(B28-B14)/B29</f>
        <v>4.63305080670149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1" t="s">
        <v>95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2" t="s">
        <v>96</v>
      </c>
      <c r="B3" s="4" t="n">
        <v>1.15</v>
      </c>
      <c r="C3" s="4" t="n">
        <v>0.92</v>
      </c>
      <c r="D3" s="4" t="n">
        <v>0.75</v>
      </c>
      <c r="E3" s="4" t="n">
        <v>0.6</v>
      </c>
    </row>
    <row r="4" customFormat="false" ht="15" hidden="false" customHeight="false" outlineLevel="0" collapsed="false">
      <c r="A4" s="4" t="n">
        <v>2.5</v>
      </c>
      <c r="B4" s="14" t="n">
        <f aca="false">(SUMPRODUCT(((Model!$B$6:$F$6+Model!$B$7:$F$7-B$3*Model!$B$5:$F$5/1000)*(1-Inputs!$B$5)+Inputs!$B$5*Model!$B$15:$F$15)*Model!$B$29:$F$29)+SUMPRODUCT((Model!$B$4:$F$4*Inputs!$B$36:$F$36/1000-B$3*Model!$B$4:$F$4/1000)*(1-Inputs!$B$5)*Model!$B$30:$F$30)-SUMPRODUCT(Model!$B$23:$F$23*Model!$B$29:$F$29)+((Model!$F$5*(Inputs!$B$23-B$3)/1000+MAX(0,Model!$F$5-Inputs!$B$24)*Inputs!$B$21/1000-Inputs!$B$25*Model!$F$5/Model!$F$3)*(1-Inputs!$B$5)+Inputs!$B$5*Inputs!$B$26)*(1-(1+Inputs!$B$6)^-(Inputs!$B$27-2031))/Inputs!$B$6/(1+Inputs!$B$6)^5+(Model!$F$4*($A4-B$3)/1000-Inputs!$B$25*(1-Model!$F$5/Model!$F$3))*(1-Inputs!$B$5)/Inputs!$B$7/(1+Inputs!$B$7)^5+(Model!$F$5*($A4-B$3)/1000)*(1-Inputs!$B$5)/Inputs!$B$7/(1+Inputs!$B$7)^(5+(Inputs!$B$27-2031))-Inputs!$B$9-Inputs!$B$10-Inputs!$B$12*(1-Inputs!$B$5)/Inputs!$B$6-Inputs!$B$13)/Inputs!$B$4</f>
        <v>1.05687911308543</v>
      </c>
      <c r="C4" s="14" t="n">
        <f aca="false">(SUMPRODUCT(((Model!$B$6:$F$6+Model!$B$7:$F$7-C$3*Model!$B$5:$F$5/1000)*(1-Inputs!$B$5)+Inputs!$B$5*Model!$B$15:$F$15)*Model!$B$29:$F$29)+SUMPRODUCT((Model!$B$4:$F$4*Inputs!$B$36:$F$36/1000-C$3*Model!$B$4:$F$4/1000)*(1-Inputs!$B$5)*Model!$B$30:$F$30)-SUMPRODUCT(Model!$B$23:$F$23*Model!$B$29:$F$29)+((Model!$F$5*(Inputs!$B$23-C$3)/1000+MAX(0,Model!$F$5-Inputs!$B$24)*Inputs!$B$21/1000-Inputs!$B$25*Model!$F$5/Model!$F$3)*(1-Inputs!$B$5)+Inputs!$B$5*Inputs!$B$26)*(1-(1+Inputs!$B$6)^-(Inputs!$B$27-2031))/Inputs!$B$6/(1+Inputs!$B$6)^5+(Model!$F$4*($A4-C$3)/1000-Inputs!$B$25*(1-Model!$F$5/Model!$F$3))*(1-Inputs!$B$5)/Inputs!$B$7/(1+Inputs!$B$7)^5+(Model!$F$5*($A4-C$3)/1000)*(1-Inputs!$B$5)/Inputs!$B$7/(1+Inputs!$B$7)^(5+(Inputs!$B$27-2031))-Inputs!$B$9-Inputs!$B$10-Inputs!$B$12*(1-Inputs!$B$5)/Inputs!$B$6-Inputs!$B$13)/Inputs!$B$4</f>
        <v>4.41187734666609</v>
      </c>
      <c r="D4" s="14" t="n">
        <f aca="false">(SUMPRODUCT(((Model!$B$6:$F$6+Model!$B$7:$F$7-D$3*Model!$B$5:$F$5/1000)*(1-Inputs!$B$5)+Inputs!$B$5*Model!$B$15:$F$15)*Model!$B$29:$F$29)+SUMPRODUCT((Model!$B$4:$F$4*Inputs!$B$36:$F$36/1000-D$3*Model!$B$4:$F$4/1000)*(1-Inputs!$B$5)*Model!$B$30:$F$30)-SUMPRODUCT(Model!$B$23:$F$23*Model!$B$29:$F$29)+((Model!$F$5*(Inputs!$B$23-D$3)/1000+MAX(0,Model!$F$5-Inputs!$B$24)*Inputs!$B$21/1000-Inputs!$B$25*Model!$F$5/Model!$F$3)*(1-Inputs!$B$5)+Inputs!$B$5*Inputs!$B$26)*(1-(1+Inputs!$B$6)^-(Inputs!$B$27-2031))/Inputs!$B$6/(1+Inputs!$B$6)^5+(Model!$F$4*($A4-D$3)/1000-Inputs!$B$25*(1-Model!$F$5/Model!$F$3))*(1-Inputs!$B$5)/Inputs!$B$7/(1+Inputs!$B$7)^5+(Model!$F$5*($A4-D$3)/1000)*(1-Inputs!$B$5)/Inputs!$B$7/(1+Inputs!$B$7)^(5+(Inputs!$B$27-2031))-Inputs!$B$9-Inputs!$B$10-Inputs!$B$12*(1-Inputs!$B$5)/Inputs!$B$6-Inputs!$B$13)/Inputs!$B$4</f>
        <v>6.89165864974744</v>
      </c>
      <c r="E4" s="14" t="n">
        <f aca="false">(SUMPRODUCT(((Model!$B$6:$F$6+Model!$B$7:$F$7-E$3*Model!$B$5:$F$5/1000)*(1-Inputs!$B$5)+Inputs!$B$5*Model!$B$15:$F$15)*Model!$B$29:$F$29)+SUMPRODUCT((Model!$B$4:$F$4*Inputs!$B$36:$F$36/1000-E$3*Model!$B$4:$F$4/1000)*(1-Inputs!$B$5)*Model!$B$30:$F$30)-SUMPRODUCT(Model!$B$23:$F$23*Model!$B$29:$F$29)+((Model!$F$5*(Inputs!$B$23-E$3)/1000+MAX(0,Model!$F$5-Inputs!$B$24)*Inputs!$B$21/1000-Inputs!$B$25*Model!$F$5/Model!$F$3)*(1-Inputs!$B$5)+Inputs!$B$5*Inputs!$B$26)*(1-(1+Inputs!$B$6)^-(Inputs!$B$27-2031))/Inputs!$B$6/(1+Inputs!$B$6)^5+(Model!$F$4*($A4-E$3)/1000-Inputs!$B$25*(1-Model!$F$5/Model!$F$3))*(1-Inputs!$B$5)/Inputs!$B$7/(1+Inputs!$B$7)^5+(Model!$F$5*($A4-E$3)/1000)*(1-Inputs!$B$5)/Inputs!$B$7/(1+Inputs!$B$7)^(5+(Inputs!$B$27-2031))-Inputs!$B$9-Inputs!$B$10-Inputs!$B$12*(1-Inputs!$B$5)/Inputs!$B$6-Inputs!$B$13)/Inputs!$B$4</f>
        <v>9.07970097599569</v>
      </c>
    </row>
    <row r="5" customFormat="false" ht="15" hidden="false" customHeight="false" outlineLevel="0" collapsed="false">
      <c r="A5" s="4" t="n">
        <v>3</v>
      </c>
      <c r="B5" s="14" t="n">
        <f aca="false">(SUMPRODUCT(((Model!$B$6:$F$6+Model!$B$7:$F$7-B$3*Model!$B$5:$F$5/1000)*(1-Inputs!$B$5)+Inputs!$B$5*Model!$B$15:$F$15)*Model!$B$29:$F$29)+SUMPRODUCT((Model!$B$4:$F$4*Inputs!$B$36:$F$36/1000-B$3*Model!$B$4:$F$4/1000)*(1-Inputs!$B$5)*Model!$B$30:$F$30)-SUMPRODUCT(Model!$B$23:$F$23*Model!$B$29:$F$29)+((Model!$F$5*(Inputs!$B$23-B$3)/1000+MAX(0,Model!$F$5-Inputs!$B$24)*Inputs!$B$21/1000-Inputs!$B$25*Model!$F$5/Model!$F$3)*(1-Inputs!$B$5)+Inputs!$B$5*Inputs!$B$26)*(1-(1+Inputs!$B$6)^-(Inputs!$B$27-2031))/Inputs!$B$6/(1+Inputs!$B$6)^5+(Model!$F$4*($A5-B$3)/1000-Inputs!$B$25*(1-Model!$F$5/Model!$F$3))*(1-Inputs!$B$5)/Inputs!$B$7/(1+Inputs!$B$7)^5+(Model!$F$5*($A5-B$3)/1000)*(1-Inputs!$B$5)/Inputs!$B$7/(1+Inputs!$B$7)^(5+(Inputs!$B$27-2031))-Inputs!$B$9-Inputs!$B$10-Inputs!$B$12*(1-Inputs!$B$5)/Inputs!$B$6-Inputs!$B$13)/Inputs!$B$4</f>
        <v>3.11175699504838</v>
      </c>
      <c r="C5" s="14" t="n">
        <f aca="false">(SUMPRODUCT(((Model!$B$6:$F$6+Model!$B$7:$F$7-C$3*Model!$B$5:$F$5/1000)*(1-Inputs!$B$5)+Inputs!$B$5*Model!$B$15:$F$15)*Model!$B$29:$F$29)+SUMPRODUCT((Model!$B$4:$F$4*Inputs!$B$36:$F$36/1000-C$3*Model!$B$4:$F$4/1000)*(1-Inputs!$B$5)*Model!$B$30:$F$30)-SUMPRODUCT(Model!$B$23:$F$23*Model!$B$29:$F$29)+((Model!$F$5*(Inputs!$B$23-C$3)/1000+MAX(0,Model!$F$5-Inputs!$B$24)*Inputs!$B$21/1000-Inputs!$B$25*Model!$F$5/Model!$F$3)*(1-Inputs!$B$5)+Inputs!$B$5*Inputs!$B$26)*(1-(1+Inputs!$B$6)^-(Inputs!$B$27-2031))/Inputs!$B$6/(1+Inputs!$B$6)^5+(Model!$F$4*($A5-C$3)/1000-Inputs!$B$25*(1-Model!$F$5/Model!$F$3))*(1-Inputs!$B$5)/Inputs!$B$7/(1+Inputs!$B$7)^5+(Model!$F$5*($A5-C$3)/1000)*(1-Inputs!$B$5)/Inputs!$B$7/(1+Inputs!$B$7)^(5+(Inputs!$B$27-2031))-Inputs!$B$9-Inputs!$B$10-Inputs!$B$12*(1-Inputs!$B$5)/Inputs!$B$6-Inputs!$B$13)/Inputs!$B$4</f>
        <v>6.46675522862904</v>
      </c>
      <c r="D5" s="14" t="n">
        <f aca="false">(SUMPRODUCT(((Model!$B$6:$F$6+Model!$B$7:$F$7-D$3*Model!$B$5:$F$5/1000)*(1-Inputs!$B$5)+Inputs!$B$5*Model!$B$15:$F$15)*Model!$B$29:$F$29)+SUMPRODUCT((Model!$B$4:$F$4*Inputs!$B$36:$F$36/1000-D$3*Model!$B$4:$F$4/1000)*(1-Inputs!$B$5)*Model!$B$30:$F$30)-SUMPRODUCT(Model!$B$23:$F$23*Model!$B$29:$F$29)+((Model!$F$5*(Inputs!$B$23-D$3)/1000+MAX(0,Model!$F$5-Inputs!$B$24)*Inputs!$B$21/1000-Inputs!$B$25*Model!$F$5/Model!$F$3)*(1-Inputs!$B$5)+Inputs!$B$5*Inputs!$B$26)*(1-(1+Inputs!$B$6)^-(Inputs!$B$27-2031))/Inputs!$B$6/(1+Inputs!$B$6)^5+(Model!$F$4*($A5-D$3)/1000-Inputs!$B$25*(1-Model!$F$5/Model!$F$3))*(1-Inputs!$B$5)/Inputs!$B$7/(1+Inputs!$B$7)^5+(Model!$F$5*($A5-D$3)/1000)*(1-Inputs!$B$5)/Inputs!$B$7/(1+Inputs!$B$7)^(5+(Inputs!$B$27-2031))-Inputs!$B$9-Inputs!$B$10-Inputs!$B$12*(1-Inputs!$B$5)/Inputs!$B$6-Inputs!$B$13)/Inputs!$B$4</f>
        <v>8.94653653171039</v>
      </c>
      <c r="E5" s="14" t="n">
        <f aca="false">(SUMPRODUCT(((Model!$B$6:$F$6+Model!$B$7:$F$7-E$3*Model!$B$5:$F$5/1000)*(1-Inputs!$B$5)+Inputs!$B$5*Model!$B$15:$F$15)*Model!$B$29:$F$29)+SUMPRODUCT((Model!$B$4:$F$4*Inputs!$B$36:$F$36/1000-E$3*Model!$B$4:$F$4/1000)*(1-Inputs!$B$5)*Model!$B$30:$F$30)-SUMPRODUCT(Model!$B$23:$F$23*Model!$B$29:$F$29)+((Model!$F$5*(Inputs!$B$23-E$3)/1000+MAX(0,Model!$F$5-Inputs!$B$24)*Inputs!$B$21/1000-Inputs!$B$25*Model!$F$5/Model!$F$3)*(1-Inputs!$B$5)+Inputs!$B$5*Inputs!$B$26)*(1-(1+Inputs!$B$6)^-(Inputs!$B$27-2031))/Inputs!$B$6/(1+Inputs!$B$6)^5+(Model!$F$4*($A5-E$3)/1000-Inputs!$B$25*(1-Model!$F$5/Model!$F$3))*(1-Inputs!$B$5)/Inputs!$B$7/(1+Inputs!$B$7)^5+(Model!$F$5*($A5-E$3)/1000)*(1-Inputs!$B$5)/Inputs!$B$7/(1+Inputs!$B$7)^(5+(Inputs!$B$27-2031))-Inputs!$B$9-Inputs!$B$10-Inputs!$B$12*(1-Inputs!$B$5)/Inputs!$B$6-Inputs!$B$13)/Inputs!$B$4</f>
        <v>11.1345788579587</v>
      </c>
    </row>
    <row r="6" customFormat="false" ht="15" hidden="false" customHeight="false" outlineLevel="0" collapsed="false">
      <c r="A6" s="4" t="n">
        <v>3.5</v>
      </c>
      <c r="B6" s="14" t="n">
        <f aca="false">(SUMPRODUCT(((Model!$B$6:$F$6+Model!$B$7:$F$7-B$3*Model!$B$5:$F$5/1000)*(1-Inputs!$B$5)+Inputs!$B$5*Model!$B$15:$F$15)*Model!$B$29:$F$29)+SUMPRODUCT((Model!$B$4:$F$4*Inputs!$B$36:$F$36/1000-B$3*Model!$B$4:$F$4/1000)*(1-Inputs!$B$5)*Model!$B$30:$F$30)-SUMPRODUCT(Model!$B$23:$F$23*Model!$B$29:$F$29)+((Model!$F$5*(Inputs!$B$23-B$3)/1000+MAX(0,Model!$F$5-Inputs!$B$24)*Inputs!$B$21/1000-Inputs!$B$25*Model!$F$5/Model!$F$3)*(1-Inputs!$B$5)+Inputs!$B$5*Inputs!$B$26)*(1-(1+Inputs!$B$6)^-(Inputs!$B$27-2031))/Inputs!$B$6/(1+Inputs!$B$6)^5+(Model!$F$4*($A6-B$3)/1000-Inputs!$B$25*(1-Model!$F$5/Model!$F$3))*(1-Inputs!$B$5)/Inputs!$B$7/(1+Inputs!$B$7)^5+(Model!$F$5*($A6-B$3)/1000)*(1-Inputs!$B$5)/Inputs!$B$7/(1+Inputs!$B$7)^(5+(Inputs!$B$27-2031))-Inputs!$B$9-Inputs!$B$10-Inputs!$B$12*(1-Inputs!$B$5)/Inputs!$B$6-Inputs!$B$13)/Inputs!$B$4</f>
        <v>5.16663487701134</v>
      </c>
      <c r="C6" s="14" t="n">
        <f aca="false">(SUMPRODUCT(((Model!$B$6:$F$6+Model!$B$7:$F$7-C$3*Model!$B$5:$F$5/1000)*(1-Inputs!$B$5)+Inputs!$B$5*Model!$B$15:$F$15)*Model!$B$29:$F$29)+SUMPRODUCT((Model!$B$4:$F$4*Inputs!$B$36:$F$36/1000-C$3*Model!$B$4:$F$4/1000)*(1-Inputs!$B$5)*Model!$B$30:$F$30)-SUMPRODUCT(Model!$B$23:$F$23*Model!$B$29:$F$29)+((Model!$F$5*(Inputs!$B$23-C$3)/1000+MAX(0,Model!$F$5-Inputs!$B$24)*Inputs!$B$21/1000-Inputs!$B$25*Model!$F$5/Model!$F$3)*(1-Inputs!$B$5)+Inputs!$B$5*Inputs!$B$26)*(1-(1+Inputs!$B$6)^-(Inputs!$B$27-2031))/Inputs!$B$6/(1+Inputs!$B$6)^5+(Model!$F$4*($A6-C$3)/1000-Inputs!$B$25*(1-Model!$F$5/Model!$F$3))*(1-Inputs!$B$5)/Inputs!$B$7/(1+Inputs!$B$7)^5+(Model!$F$5*($A6-C$3)/1000)*(1-Inputs!$B$5)/Inputs!$B$7/(1+Inputs!$B$7)^(5+(Inputs!$B$27-2031))-Inputs!$B$9-Inputs!$B$10-Inputs!$B$12*(1-Inputs!$B$5)/Inputs!$B$6-Inputs!$B$13)/Inputs!$B$4</f>
        <v>8.52163311059199</v>
      </c>
      <c r="D6" s="14" t="n">
        <f aca="false">(SUMPRODUCT(((Model!$B$6:$F$6+Model!$B$7:$F$7-D$3*Model!$B$5:$F$5/1000)*(1-Inputs!$B$5)+Inputs!$B$5*Model!$B$15:$F$15)*Model!$B$29:$F$29)+SUMPRODUCT((Model!$B$4:$F$4*Inputs!$B$36:$F$36/1000-D$3*Model!$B$4:$F$4/1000)*(1-Inputs!$B$5)*Model!$B$30:$F$30)-SUMPRODUCT(Model!$B$23:$F$23*Model!$B$29:$F$29)+((Model!$F$5*(Inputs!$B$23-D$3)/1000+MAX(0,Model!$F$5-Inputs!$B$24)*Inputs!$B$21/1000-Inputs!$B$25*Model!$F$5/Model!$F$3)*(1-Inputs!$B$5)+Inputs!$B$5*Inputs!$B$26)*(1-(1+Inputs!$B$6)^-(Inputs!$B$27-2031))/Inputs!$B$6/(1+Inputs!$B$6)^5+(Model!$F$4*($A6-D$3)/1000-Inputs!$B$25*(1-Model!$F$5/Model!$F$3))*(1-Inputs!$B$5)/Inputs!$B$7/(1+Inputs!$B$7)^5+(Model!$F$5*($A6-D$3)/1000)*(1-Inputs!$B$5)/Inputs!$B$7/(1+Inputs!$B$7)^(5+(Inputs!$B$27-2031))-Inputs!$B$9-Inputs!$B$10-Inputs!$B$12*(1-Inputs!$B$5)/Inputs!$B$6-Inputs!$B$13)/Inputs!$B$4</f>
        <v>11.0014144136734</v>
      </c>
      <c r="E6" s="14" t="n">
        <f aca="false">(SUMPRODUCT(((Model!$B$6:$F$6+Model!$B$7:$F$7-E$3*Model!$B$5:$F$5/1000)*(1-Inputs!$B$5)+Inputs!$B$5*Model!$B$15:$F$15)*Model!$B$29:$F$29)+SUMPRODUCT((Model!$B$4:$F$4*Inputs!$B$36:$F$36/1000-E$3*Model!$B$4:$F$4/1000)*(1-Inputs!$B$5)*Model!$B$30:$F$30)-SUMPRODUCT(Model!$B$23:$F$23*Model!$B$29:$F$29)+((Model!$F$5*(Inputs!$B$23-E$3)/1000+MAX(0,Model!$F$5-Inputs!$B$24)*Inputs!$B$21/1000-Inputs!$B$25*Model!$F$5/Model!$F$3)*(1-Inputs!$B$5)+Inputs!$B$5*Inputs!$B$26)*(1-(1+Inputs!$B$6)^-(Inputs!$B$27-2031))/Inputs!$B$6/(1+Inputs!$B$6)^5+(Model!$F$4*($A6-E$3)/1000-Inputs!$B$25*(1-Model!$F$5/Model!$F$3))*(1-Inputs!$B$5)/Inputs!$B$7/(1+Inputs!$B$7)^5+(Model!$F$5*($A6-E$3)/1000)*(1-Inputs!$B$5)/Inputs!$B$7/(1+Inputs!$B$7)^(5+(Inputs!$B$27-2031))-Inputs!$B$9-Inputs!$B$10-Inputs!$B$12*(1-Inputs!$B$5)/Inputs!$B$6-Inputs!$B$13)/Inputs!$B$4</f>
        <v>13.1894567399216</v>
      </c>
    </row>
    <row r="7" customFormat="false" ht="15" hidden="false" customHeight="false" outlineLevel="0" collapsed="false">
      <c r="A7" s="4" t="n">
        <v>4</v>
      </c>
      <c r="B7" s="14" t="n">
        <f aca="false">(SUMPRODUCT(((Model!$B$6:$F$6+Model!$B$7:$F$7-B$3*Model!$B$5:$F$5/1000)*(1-Inputs!$B$5)+Inputs!$B$5*Model!$B$15:$F$15)*Model!$B$29:$F$29)+SUMPRODUCT((Model!$B$4:$F$4*Inputs!$B$36:$F$36/1000-B$3*Model!$B$4:$F$4/1000)*(1-Inputs!$B$5)*Model!$B$30:$F$30)-SUMPRODUCT(Model!$B$23:$F$23*Model!$B$29:$F$29)+((Model!$F$5*(Inputs!$B$23-B$3)/1000+MAX(0,Model!$F$5-Inputs!$B$24)*Inputs!$B$21/1000-Inputs!$B$25*Model!$F$5/Model!$F$3)*(1-Inputs!$B$5)+Inputs!$B$5*Inputs!$B$26)*(1-(1+Inputs!$B$6)^-(Inputs!$B$27-2031))/Inputs!$B$6/(1+Inputs!$B$6)^5+(Model!$F$4*($A7-B$3)/1000-Inputs!$B$25*(1-Model!$F$5/Model!$F$3))*(1-Inputs!$B$5)/Inputs!$B$7/(1+Inputs!$B$7)^5+(Model!$F$5*($A7-B$3)/1000)*(1-Inputs!$B$5)/Inputs!$B$7/(1+Inputs!$B$7)^(5+(Inputs!$B$27-2031))-Inputs!$B$9-Inputs!$B$10-Inputs!$B$12*(1-Inputs!$B$5)/Inputs!$B$6-Inputs!$B$13)/Inputs!$B$4</f>
        <v>7.22151275897429</v>
      </c>
      <c r="C7" s="14" t="n">
        <f aca="false">(SUMPRODUCT(((Model!$B$6:$F$6+Model!$B$7:$F$7-C$3*Model!$B$5:$F$5/1000)*(1-Inputs!$B$5)+Inputs!$B$5*Model!$B$15:$F$15)*Model!$B$29:$F$29)+SUMPRODUCT((Model!$B$4:$F$4*Inputs!$B$36:$F$36/1000-C$3*Model!$B$4:$F$4/1000)*(1-Inputs!$B$5)*Model!$B$30:$F$30)-SUMPRODUCT(Model!$B$23:$F$23*Model!$B$29:$F$29)+((Model!$F$5*(Inputs!$B$23-C$3)/1000+MAX(0,Model!$F$5-Inputs!$B$24)*Inputs!$B$21/1000-Inputs!$B$25*Model!$F$5/Model!$F$3)*(1-Inputs!$B$5)+Inputs!$B$5*Inputs!$B$26)*(1-(1+Inputs!$B$6)^-(Inputs!$B$27-2031))/Inputs!$B$6/(1+Inputs!$B$6)^5+(Model!$F$4*($A7-C$3)/1000-Inputs!$B$25*(1-Model!$F$5/Model!$F$3))*(1-Inputs!$B$5)/Inputs!$B$7/(1+Inputs!$B$7)^5+(Model!$F$5*($A7-C$3)/1000)*(1-Inputs!$B$5)/Inputs!$B$7/(1+Inputs!$B$7)^(5+(Inputs!$B$27-2031))-Inputs!$B$9-Inputs!$B$10-Inputs!$B$12*(1-Inputs!$B$5)/Inputs!$B$6-Inputs!$B$13)/Inputs!$B$4</f>
        <v>10.5765109925549</v>
      </c>
      <c r="D7" s="14" t="n">
        <f aca="false">(SUMPRODUCT(((Model!$B$6:$F$6+Model!$B$7:$F$7-D$3*Model!$B$5:$F$5/1000)*(1-Inputs!$B$5)+Inputs!$B$5*Model!$B$15:$F$15)*Model!$B$29:$F$29)+SUMPRODUCT((Model!$B$4:$F$4*Inputs!$B$36:$F$36/1000-D$3*Model!$B$4:$F$4/1000)*(1-Inputs!$B$5)*Model!$B$30:$F$30)-SUMPRODUCT(Model!$B$23:$F$23*Model!$B$29:$F$29)+((Model!$F$5*(Inputs!$B$23-D$3)/1000+MAX(0,Model!$F$5-Inputs!$B$24)*Inputs!$B$21/1000-Inputs!$B$25*Model!$F$5/Model!$F$3)*(1-Inputs!$B$5)+Inputs!$B$5*Inputs!$B$26)*(1-(1+Inputs!$B$6)^-(Inputs!$B$27-2031))/Inputs!$B$6/(1+Inputs!$B$6)^5+(Model!$F$4*($A7-D$3)/1000-Inputs!$B$25*(1-Model!$F$5/Model!$F$3))*(1-Inputs!$B$5)/Inputs!$B$7/(1+Inputs!$B$7)^5+(Model!$F$5*($A7-D$3)/1000)*(1-Inputs!$B$5)/Inputs!$B$7/(1+Inputs!$B$7)^(5+(Inputs!$B$27-2031))-Inputs!$B$9-Inputs!$B$10-Inputs!$B$12*(1-Inputs!$B$5)/Inputs!$B$6-Inputs!$B$13)/Inputs!$B$4</f>
        <v>13.0562922956363</v>
      </c>
      <c r="E7" s="14" t="n">
        <f aca="false">(SUMPRODUCT(((Model!$B$6:$F$6+Model!$B$7:$F$7-E$3*Model!$B$5:$F$5/1000)*(1-Inputs!$B$5)+Inputs!$B$5*Model!$B$15:$F$15)*Model!$B$29:$F$29)+SUMPRODUCT((Model!$B$4:$F$4*Inputs!$B$36:$F$36/1000-E$3*Model!$B$4:$F$4/1000)*(1-Inputs!$B$5)*Model!$B$30:$F$30)-SUMPRODUCT(Model!$B$23:$F$23*Model!$B$29:$F$29)+((Model!$F$5*(Inputs!$B$23-E$3)/1000+MAX(0,Model!$F$5-Inputs!$B$24)*Inputs!$B$21/1000-Inputs!$B$25*Model!$F$5/Model!$F$3)*(1-Inputs!$B$5)+Inputs!$B$5*Inputs!$B$26)*(1-(1+Inputs!$B$6)^-(Inputs!$B$27-2031))/Inputs!$B$6/(1+Inputs!$B$6)^5+(Model!$F$4*($A7-E$3)/1000-Inputs!$B$25*(1-Model!$F$5/Model!$F$3))*(1-Inputs!$B$5)/Inputs!$B$7/(1+Inputs!$B$7)^5+(Model!$F$5*($A7-E$3)/1000)*(1-Inputs!$B$5)/Inputs!$B$7/(1+Inputs!$B$7)^(5+(Inputs!$B$27-2031))-Inputs!$B$9-Inputs!$B$10-Inputs!$B$12*(1-Inputs!$B$5)/Inputs!$B$6-Inputs!$B$13)/Inputs!$B$4</f>
        <v>15.2443346218846</v>
      </c>
    </row>
    <row r="8" customFormat="false" ht="15" hidden="false" customHeight="false" outlineLevel="0" collapsed="false">
      <c r="A8" s="4" t="n">
        <v>4.5</v>
      </c>
      <c r="B8" s="14" t="n">
        <f aca="false">(SUMPRODUCT(((Model!$B$6:$F$6+Model!$B$7:$F$7-B$3*Model!$B$5:$F$5/1000)*(1-Inputs!$B$5)+Inputs!$B$5*Model!$B$15:$F$15)*Model!$B$29:$F$29)+SUMPRODUCT((Model!$B$4:$F$4*Inputs!$B$36:$F$36/1000-B$3*Model!$B$4:$F$4/1000)*(1-Inputs!$B$5)*Model!$B$30:$F$30)-SUMPRODUCT(Model!$B$23:$F$23*Model!$B$29:$F$29)+((Model!$F$5*(Inputs!$B$23-B$3)/1000+MAX(0,Model!$F$5-Inputs!$B$24)*Inputs!$B$21/1000-Inputs!$B$25*Model!$F$5/Model!$F$3)*(1-Inputs!$B$5)+Inputs!$B$5*Inputs!$B$26)*(1-(1+Inputs!$B$6)^-(Inputs!$B$27-2031))/Inputs!$B$6/(1+Inputs!$B$6)^5+(Model!$F$4*($A8-B$3)/1000-Inputs!$B$25*(1-Model!$F$5/Model!$F$3))*(1-Inputs!$B$5)/Inputs!$B$7/(1+Inputs!$B$7)^5+(Model!$F$5*($A8-B$3)/1000)*(1-Inputs!$B$5)/Inputs!$B$7/(1+Inputs!$B$7)^(5+(Inputs!$B$27-2031))-Inputs!$B$9-Inputs!$B$10-Inputs!$B$12*(1-Inputs!$B$5)/Inputs!$B$6-Inputs!$B$13)/Inputs!$B$4</f>
        <v>9.27639064093724</v>
      </c>
      <c r="C8" s="14" t="n">
        <f aca="false">(SUMPRODUCT(((Model!$B$6:$F$6+Model!$B$7:$F$7-C$3*Model!$B$5:$F$5/1000)*(1-Inputs!$B$5)+Inputs!$B$5*Model!$B$15:$F$15)*Model!$B$29:$F$29)+SUMPRODUCT((Model!$B$4:$F$4*Inputs!$B$36:$F$36/1000-C$3*Model!$B$4:$F$4/1000)*(1-Inputs!$B$5)*Model!$B$30:$F$30)-SUMPRODUCT(Model!$B$23:$F$23*Model!$B$29:$F$29)+((Model!$F$5*(Inputs!$B$23-C$3)/1000+MAX(0,Model!$F$5-Inputs!$B$24)*Inputs!$B$21/1000-Inputs!$B$25*Model!$F$5/Model!$F$3)*(1-Inputs!$B$5)+Inputs!$B$5*Inputs!$B$26)*(1-(1+Inputs!$B$6)^-(Inputs!$B$27-2031))/Inputs!$B$6/(1+Inputs!$B$6)^5+(Model!$F$4*($A8-C$3)/1000-Inputs!$B$25*(1-Model!$F$5/Model!$F$3))*(1-Inputs!$B$5)/Inputs!$B$7/(1+Inputs!$B$7)^5+(Model!$F$5*($A8-C$3)/1000)*(1-Inputs!$B$5)/Inputs!$B$7/(1+Inputs!$B$7)^(5+(Inputs!$B$27-2031))-Inputs!$B$9-Inputs!$B$10-Inputs!$B$12*(1-Inputs!$B$5)/Inputs!$B$6-Inputs!$B$13)/Inputs!$B$4</f>
        <v>12.6313888745179</v>
      </c>
      <c r="D8" s="14" t="n">
        <f aca="false">(SUMPRODUCT(((Model!$B$6:$F$6+Model!$B$7:$F$7-D$3*Model!$B$5:$F$5/1000)*(1-Inputs!$B$5)+Inputs!$B$5*Model!$B$15:$F$15)*Model!$B$29:$F$29)+SUMPRODUCT((Model!$B$4:$F$4*Inputs!$B$36:$F$36/1000-D$3*Model!$B$4:$F$4/1000)*(1-Inputs!$B$5)*Model!$B$30:$F$30)-SUMPRODUCT(Model!$B$23:$F$23*Model!$B$29:$F$29)+((Model!$F$5*(Inputs!$B$23-D$3)/1000+MAX(0,Model!$F$5-Inputs!$B$24)*Inputs!$B$21/1000-Inputs!$B$25*Model!$F$5/Model!$F$3)*(1-Inputs!$B$5)+Inputs!$B$5*Inputs!$B$26)*(1-(1+Inputs!$B$6)^-(Inputs!$B$27-2031))/Inputs!$B$6/(1+Inputs!$B$6)^5+(Model!$F$4*($A8-D$3)/1000-Inputs!$B$25*(1-Model!$F$5/Model!$F$3))*(1-Inputs!$B$5)/Inputs!$B$7/(1+Inputs!$B$7)^5+(Model!$F$5*($A8-D$3)/1000)*(1-Inputs!$B$5)/Inputs!$B$7/(1+Inputs!$B$7)^(5+(Inputs!$B$27-2031))-Inputs!$B$9-Inputs!$B$10-Inputs!$B$12*(1-Inputs!$B$5)/Inputs!$B$6-Inputs!$B$13)/Inputs!$B$4</f>
        <v>15.1111701775993</v>
      </c>
      <c r="E8" s="14" t="n">
        <f aca="false">(SUMPRODUCT(((Model!$B$6:$F$6+Model!$B$7:$F$7-E$3*Model!$B$5:$F$5/1000)*(1-Inputs!$B$5)+Inputs!$B$5*Model!$B$15:$F$15)*Model!$B$29:$F$29)+SUMPRODUCT((Model!$B$4:$F$4*Inputs!$B$36:$F$36/1000-E$3*Model!$B$4:$F$4/1000)*(1-Inputs!$B$5)*Model!$B$30:$F$30)-SUMPRODUCT(Model!$B$23:$F$23*Model!$B$29:$F$29)+((Model!$F$5*(Inputs!$B$23-E$3)/1000+MAX(0,Model!$F$5-Inputs!$B$24)*Inputs!$B$21/1000-Inputs!$B$25*Model!$F$5/Model!$F$3)*(1-Inputs!$B$5)+Inputs!$B$5*Inputs!$B$26)*(1-(1+Inputs!$B$6)^-(Inputs!$B$27-2031))/Inputs!$B$6/(1+Inputs!$B$6)^5+(Model!$F$4*($A8-E$3)/1000-Inputs!$B$25*(1-Model!$F$5/Model!$F$3))*(1-Inputs!$B$5)/Inputs!$B$7/(1+Inputs!$B$7)^5+(Model!$F$5*($A8-E$3)/1000)*(1-Inputs!$B$5)/Inputs!$B$7/(1+Inputs!$B$7)^(5+(Inputs!$B$27-2031))-Inputs!$B$9-Inputs!$B$10-Inputs!$B$12*(1-Inputs!$B$5)/Inputs!$B$6-Inputs!$B$13)/Inputs!$B$4</f>
        <v>17.2992125038475</v>
      </c>
    </row>
    <row r="9" customFormat="false" ht="15" hidden="false" customHeight="false" outlineLevel="0" collapsed="false">
      <c r="A9" s="4" t="n">
        <v>5.19</v>
      </c>
      <c r="B9" s="14" t="n">
        <f aca="false">(SUMPRODUCT(((Model!$B$6:$F$6+Model!$B$7:$F$7-B$3*Model!$B$5:$F$5/1000)*(1-Inputs!$B$5)+Inputs!$B$5*Model!$B$15:$F$15)*Model!$B$29:$F$29)+SUMPRODUCT((Model!$B$4:$F$4*Inputs!$B$36:$F$36/1000-B$3*Model!$B$4:$F$4/1000)*(1-Inputs!$B$5)*Model!$B$30:$F$30)-SUMPRODUCT(Model!$B$23:$F$23*Model!$B$29:$F$29)+((Model!$F$5*(Inputs!$B$23-B$3)/1000+MAX(0,Model!$F$5-Inputs!$B$24)*Inputs!$B$21/1000-Inputs!$B$25*Model!$F$5/Model!$F$3)*(1-Inputs!$B$5)+Inputs!$B$5*Inputs!$B$26)*(1-(1+Inputs!$B$6)^-(Inputs!$B$27-2031))/Inputs!$B$6/(1+Inputs!$B$6)^5+(Model!$F$4*($A9-B$3)/1000-Inputs!$B$25*(1-Model!$F$5/Model!$F$3))*(1-Inputs!$B$5)/Inputs!$B$7/(1+Inputs!$B$7)^5+(Model!$F$5*($A9-B$3)/1000)*(1-Inputs!$B$5)/Inputs!$B$7/(1+Inputs!$B$7)^(5+(Inputs!$B$27-2031))-Inputs!$B$9-Inputs!$B$10-Inputs!$B$12*(1-Inputs!$B$5)/Inputs!$B$6-Inputs!$B$13)/Inputs!$B$4</f>
        <v>12.1121221180461</v>
      </c>
      <c r="C9" s="14" t="n">
        <f aca="false">(SUMPRODUCT(((Model!$B$6:$F$6+Model!$B$7:$F$7-C$3*Model!$B$5:$F$5/1000)*(1-Inputs!$B$5)+Inputs!$B$5*Model!$B$15:$F$15)*Model!$B$29:$F$29)+SUMPRODUCT((Model!$B$4:$F$4*Inputs!$B$36:$F$36/1000-C$3*Model!$B$4:$F$4/1000)*(1-Inputs!$B$5)*Model!$B$30:$F$30)-SUMPRODUCT(Model!$B$23:$F$23*Model!$B$29:$F$29)+((Model!$F$5*(Inputs!$B$23-C$3)/1000+MAX(0,Model!$F$5-Inputs!$B$24)*Inputs!$B$21/1000-Inputs!$B$25*Model!$F$5/Model!$F$3)*(1-Inputs!$B$5)+Inputs!$B$5*Inputs!$B$26)*(1-(1+Inputs!$B$6)^-(Inputs!$B$27-2031))/Inputs!$B$6/(1+Inputs!$B$6)^5+(Model!$F$4*($A9-C$3)/1000-Inputs!$B$25*(1-Model!$F$5/Model!$F$3))*(1-Inputs!$B$5)/Inputs!$B$7/(1+Inputs!$B$7)^5+(Model!$F$5*($A9-C$3)/1000)*(1-Inputs!$B$5)/Inputs!$B$7/(1+Inputs!$B$7)^(5+(Inputs!$B$27-2031))-Inputs!$B$9-Inputs!$B$10-Inputs!$B$12*(1-Inputs!$B$5)/Inputs!$B$6-Inputs!$B$13)/Inputs!$B$4</f>
        <v>15.4671203516268</v>
      </c>
      <c r="D9" s="14" t="n">
        <f aca="false">(SUMPRODUCT(((Model!$B$6:$F$6+Model!$B$7:$F$7-D$3*Model!$B$5:$F$5/1000)*(1-Inputs!$B$5)+Inputs!$B$5*Model!$B$15:$F$15)*Model!$B$29:$F$29)+SUMPRODUCT((Model!$B$4:$F$4*Inputs!$B$36:$F$36/1000-D$3*Model!$B$4:$F$4/1000)*(1-Inputs!$B$5)*Model!$B$30:$F$30)-SUMPRODUCT(Model!$B$23:$F$23*Model!$B$29:$F$29)+((Model!$F$5*(Inputs!$B$23-D$3)/1000+MAX(0,Model!$F$5-Inputs!$B$24)*Inputs!$B$21/1000-Inputs!$B$25*Model!$F$5/Model!$F$3)*(1-Inputs!$B$5)+Inputs!$B$5*Inputs!$B$26)*(1-(1+Inputs!$B$6)^-(Inputs!$B$27-2031))/Inputs!$B$6/(1+Inputs!$B$6)^5+(Model!$F$4*($A9-D$3)/1000-Inputs!$B$25*(1-Model!$F$5/Model!$F$3))*(1-Inputs!$B$5)/Inputs!$B$7/(1+Inputs!$B$7)^5+(Model!$F$5*($A9-D$3)/1000)*(1-Inputs!$B$5)/Inputs!$B$7/(1+Inputs!$B$7)^(5+(Inputs!$B$27-2031))-Inputs!$B$9-Inputs!$B$10-Inputs!$B$12*(1-Inputs!$B$5)/Inputs!$B$6-Inputs!$B$13)/Inputs!$B$4</f>
        <v>17.9469016547081</v>
      </c>
      <c r="E9" s="14" t="n">
        <f aca="false">(SUMPRODUCT(((Model!$B$6:$F$6+Model!$B$7:$F$7-E$3*Model!$B$5:$F$5/1000)*(1-Inputs!$B$5)+Inputs!$B$5*Model!$B$15:$F$15)*Model!$B$29:$F$29)+SUMPRODUCT((Model!$B$4:$F$4*Inputs!$B$36:$F$36/1000-E$3*Model!$B$4:$F$4/1000)*(1-Inputs!$B$5)*Model!$B$30:$F$30)-SUMPRODUCT(Model!$B$23:$F$23*Model!$B$29:$F$29)+((Model!$F$5*(Inputs!$B$23-E$3)/1000+MAX(0,Model!$F$5-Inputs!$B$24)*Inputs!$B$21/1000-Inputs!$B$25*Model!$F$5/Model!$F$3)*(1-Inputs!$B$5)+Inputs!$B$5*Inputs!$B$26)*(1-(1+Inputs!$B$6)^-(Inputs!$B$27-2031))/Inputs!$B$6/(1+Inputs!$B$6)^5+(Model!$F$4*($A9-E$3)/1000-Inputs!$B$25*(1-Model!$F$5/Model!$F$3))*(1-Inputs!$B$5)/Inputs!$B$7/(1+Inputs!$B$7)^5+(Model!$F$5*($A9-E$3)/1000)*(1-Inputs!$B$5)/Inputs!$B$7/(1+Inputs!$B$7)^(5+(Inputs!$B$27-2031))-Inputs!$B$9-Inputs!$B$10-Inputs!$B$12*(1-Inputs!$B$5)/Inputs!$B$6-Inputs!$B$13)/Inputs!$B$4</f>
        <v>20.1349439809564</v>
      </c>
    </row>
    <row r="10" customFormat="false" ht="15" hidden="false" customHeight="false" outlineLevel="0" collapsed="false">
      <c r="A10" s="4" t="n">
        <v>6</v>
      </c>
      <c r="B10" s="14" t="n">
        <f aca="false">(SUMPRODUCT(((Model!$B$6:$F$6+Model!$B$7:$F$7-B$3*Model!$B$5:$F$5/1000)*(1-Inputs!$B$5)+Inputs!$B$5*Model!$B$15:$F$15)*Model!$B$29:$F$29)+SUMPRODUCT((Model!$B$4:$F$4*Inputs!$B$36:$F$36/1000-B$3*Model!$B$4:$F$4/1000)*(1-Inputs!$B$5)*Model!$B$30:$F$30)-SUMPRODUCT(Model!$B$23:$F$23*Model!$B$29:$F$29)+((Model!$F$5*(Inputs!$B$23-B$3)/1000+MAX(0,Model!$F$5-Inputs!$B$24)*Inputs!$B$21/1000-Inputs!$B$25*Model!$F$5/Model!$F$3)*(1-Inputs!$B$5)+Inputs!$B$5*Inputs!$B$26)*(1-(1+Inputs!$B$6)^-(Inputs!$B$27-2031))/Inputs!$B$6/(1+Inputs!$B$6)^5+(Model!$F$4*($A10-B$3)/1000-Inputs!$B$25*(1-Model!$F$5/Model!$F$3))*(1-Inputs!$B$5)/Inputs!$B$7/(1+Inputs!$B$7)^5+(Model!$F$5*($A10-B$3)/1000)*(1-Inputs!$B$5)/Inputs!$B$7/(1+Inputs!$B$7)^(5+(Inputs!$B$27-2031))-Inputs!$B$9-Inputs!$B$10-Inputs!$B$12*(1-Inputs!$B$5)/Inputs!$B$6-Inputs!$B$13)/Inputs!$B$4</f>
        <v>15.4410242868261</v>
      </c>
      <c r="C10" s="14" t="n">
        <f aca="false">(SUMPRODUCT(((Model!$B$6:$F$6+Model!$B$7:$F$7-C$3*Model!$B$5:$F$5/1000)*(1-Inputs!$B$5)+Inputs!$B$5*Model!$B$15:$F$15)*Model!$B$29:$F$29)+SUMPRODUCT((Model!$B$4:$F$4*Inputs!$B$36:$F$36/1000-C$3*Model!$B$4:$F$4/1000)*(1-Inputs!$B$5)*Model!$B$30:$F$30)-SUMPRODUCT(Model!$B$23:$F$23*Model!$B$29:$F$29)+((Model!$F$5*(Inputs!$B$23-C$3)/1000+MAX(0,Model!$F$5-Inputs!$B$24)*Inputs!$B$21/1000-Inputs!$B$25*Model!$F$5/Model!$F$3)*(1-Inputs!$B$5)+Inputs!$B$5*Inputs!$B$26)*(1-(1+Inputs!$B$6)^-(Inputs!$B$27-2031))/Inputs!$B$6/(1+Inputs!$B$6)^5+(Model!$F$4*($A10-C$3)/1000-Inputs!$B$25*(1-Model!$F$5/Model!$F$3))*(1-Inputs!$B$5)/Inputs!$B$7/(1+Inputs!$B$7)^5+(Model!$F$5*($A10-C$3)/1000)*(1-Inputs!$B$5)/Inputs!$B$7/(1+Inputs!$B$7)^(5+(Inputs!$B$27-2031))-Inputs!$B$9-Inputs!$B$10-Inputs!$B$12*(1-Inputs!$B$5)/Inputs!$B$6-Inputs!$B$13)/Inputs!$B$4</f>
        <v>18.7960225204068</v>
      </c>
      <c r="D10" s="14" t="n">
        <f aca="false">(SUMPRODUCT(((Model!$B$6:$F$6+Model!$B$7:$F$7-D$3*Model!$B$5:$F$5/1000)*(1-Inputs!$B$5)+Inputs!$B$5*Model!$B$15:$F$15)*Model!$B$29:$F$29)+SUMPRODUCT((Model!$B$4:$F$4*Inputs!$B$36:$F$36/1000-D$3*Model!$B$4:$F$4/1000)*(1-Inputs!$B$5)*Model!$B$30:$F$30)-SUMPRODUCT(Model!$B$23:$F$23*Model!$B$29:$F$29)+((Model!$F$5*(Inputs!$B$23-D$3)/1000+MAX(0,Model!$F$5-Inputs!$B$24)*Inputs!$B$21/1000-Inputs!$B$25*Model!$F$5/Model!$F$3)*(1-Inputs!$B$5)+Inputs!$B$5*Inputs!$B$26)*(1-(1+Inputs!$B$6)^-(Inputs!$B$27-2031))/Inputs!$B$6/(1+Inputs!$B$6)^5+(Model!$F$4*($A10-D$3)/1000-Inputs!$B$25*(1-Model!$F$5/Model!$F$3))*(1-Inputs!$B$5)/Inputs!$B$7/(1+Inputs!$B$7)^5+(Model!$F$5*($A10-D$3)/1000)*(1-Inputs!$B$5)/Inputs!$B$7/(1+Inputs!$B$7)^(5+(Inputs!$B$27-2031))-Inputs!$B$9-Inputs!$B$10-Inputs!$B$12*(1-Inputs!$B$5)/Inputs!$B$6-Inputs!$B$13)/Inputs!$B$4</f>
        <v>21.2758038234881</v>
      </c>
      <c r="E10" s="14" t="n">
        <f aca="false">(SUMPRODUCT(((Model!$B$6:$F$6+Model!$B$7:$F$7-E$3*Model!$B$5:$F$5/1000)*(1-Inputs!$B$5)+Inputs!$B$5*Model!$B$15:$F$15)*Model!$B$29:$F$29)+SUMPRODUCT((Model!$B$4:$F$4*Inputs!$B$36:$F$36/1000-E$3*Model!$B$4:$F$4/1000)*(1-Inputs!$B$5)*Model!$B$30:$F$30)-SUMPRODUCT(Model!$B$23:$F$23*Model!$B$29:$F$29)+((Model!$F$5*(Inputs!$B$23-E$3)/1000+MAX(0,Model!$F$5-Inputs!$B$24)*Inputs!$B$21/1000-Inputs!$B$25*Model!$F$5/Model!$F$3)*(1-Inputs!$B$5)+Inputs!$B$5*Inputs!$B$26)*(1-(1+Inputs!$B$6)^-(Inputs!$B$27-2031))/Inputs!$B$6/(1+Inputs!$B$6)^5+(Model!$F$4*($A10-E$3)/1000-Inputs!$B$25*(1-Model!$F$5/Model!$F$3))*(1-Inputs!$B$5)/Inputs!$B$7/(1+Inputs!$B$7)^5+(Model!$F$5*($A10-E$3)/1000)*(1-Inputs!$B$5)/Inputs!$B$7/(1+Inputs!$B$7)^(5+(Inputs!$B$27-2031))-Inputs!$B$9-Inputs!$B$10-Inputs!$B$12*(1-Inputs!$B$5)/Inputs!$B$6-Inputs!$B$13)/Inputs!$B$4</f>
        <v>23.4638461497364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2026-10-08T08:23:08Z</dcterms:created>
  <dc:creator>openpyxl</dc:creator>
  <dc:description/>
  <dc:language>en-US</dc:language>
  <cp:lastModifiedBy/>
  <dcterms:modified xsi:type="dcterms:W3CDTF">2026-10-08T08:23:08Z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