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Model" sheetId="2" state="visible" r:id="rId4"/>
    <sheet name="Tail 2032-2049" sheetId="3" state="visible" r:id="rId5"/>
    <sheet name="Valuation" sheetId="4" state="visible" r:id="rId6"/>
    <sheet name="Gri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3" authorId="0">
      <text>
        <r>
          <rPr>
            <sz val="10"/>
            <rFont val="Arial"/>
            <family val="2"/>
          </rPr>
          <t xml:space="preserve">stockanalysis.com / Yahoo Finance close, 7 Oct 2026</t>
        </r>
      </text>
    </comment>
    <comment ref="B4" authorId="0">
      <text>
        <r>
          <rPr>
            <sz val="10"/>
            <rFont val="Arial"/>
            <family val="2"/>
          </rPr>
          <t xml:space="preserve">Q2 2026 10-Q Note 16 (2,643m)</t>
        </r>
      </text>
    </comment>
    <comment ref="B5" authorId="0">
      <text>
        <r>
          <rPr>
            <sz val="10"/>
            <rFont val="Arial"/>
            <family val="2"/>
          </rPr>
          <t xml:space="preserve">close to the 19.2% Q2 2026 effective rate</t>
        </r>
      </text>
    </comment>
    <comment ref="B6" authorId="0">
      <text>
        <r>
          <rPr>
            <sz val="10"/>
            <rFont val="Arial"/>
            <family val="2"/>
          </rPr>
          <t xml:space="preserve">ASSUMPTION: a little above the 6.375%/6.625% VGLNG coupons issued in 2026</t>
        </r>
      </text>
    </comment>
    <comment ref="B7" authorId="0">
      <text>
        <r>
          <rPr>
            <sz val="10"/>
            <rFont val="Arial"/>
            <family val="2"/>
          </rPr>
          <t xml:space="preserve">ASSUMPTION: above the 9.0% Series A preferred</t>
        </r>
      </text>
    </comment>
    <comment ref="B8" authorId="0">
      <text>
        <r>
          <rPr>
            <sz val="10"/>
            <rFont val="Arial"/>
            <family val="2"/>
          </rPr>
          <t xml:space="preserve">Q2 2026 10-Q: (stated 691 + other 46 - interest income 26) x 4 / 30 Jun net debt 37,796</t>
        </r>
      </text>
    </comment>
    <comment ref="B9" authorId="0">
      <text>
        <r>
          <rPr>
            <sz val="10"/>
            <rFont val="Arial"/>
            <family val="2"/>
          </rPr>
          <t xml:space="preserve">Q2 2026 10-Q: (total interest cost 804 - interest income 26) x 4 / 37,796</t>
        </r>
      </text>
    </comment>
    <comment ref="B10" authorId="0">
      <text>
        <r>
          <rPr>
            <sz val="10"/>
            <rFont val="Arial"/>
            <family val="2"/>
          </rPr>
          <t xml:space="preserve">30 Jun net debt + H2 capex - (H2 EBITDA - H2 cash interest - 0.4)</t>
        </r>
      </text>
    </comment>
    <comment ref="B11" authorId="0">
      <text>
        <r>
          <rPr>
            <sz val="10"/>
            <rFont val="Arial"/>
            <family val="2"/>
          </rPr>
          <t xml:space="preserve">Q2 2026 10-Q</t>
        </r>
      </text>
    </comment>
    <comment ref="B12" authorId="0">
      <text>
        <r>
          <rPr>
            <sz val="10"/>
            <rFont val="Arial"/>
            <family val="2"/>
          </rPr>
          <t xml:space="preserve">4 x $67m quarterly, Q2 2026 10-Q</t>
        </r>
      </text>
    </comment>
    <comment ref="B13" authorId="0">
      <text>
        <r>
          <rPr>
            <sz val="10"/>
            <rFont val="Arial"/>
            <family val="2"/>
          </rPr>
          <t xml:space="preserve">2026 NCI guide midpoint, Q1 2026 deck</t>
        </r>
      </text>
    </comment>
    <comment ref="B14" authorId="0">
      <text>
        <r>
          <rPr>
            <sz val="10"/>
            <rFont val="Arial"/>
            <family val="2"/>
          </rPr>
          <t xml:space="preserve">ASSUMPTION: half of BP's $3.7bn low-end claim, after tax</t>
        </r>
      </text>
    </comment>
    <comment ref="B15" authorId="0">
      <text>
        <r>
          <rPr>
            <sz val="10"/>
            <rFont val="Arial"/>
            <family val="2"/>
          </rPr>
          <t xml:space="preserve">$0.04/qtr on 2.498bn shares</t>
        </r>
      </text>
    </comment>
    <comment ref="B16" authorId="0">
      <text>
        <r>
          <rPr>
            <sz val="10"/>
            <rFont val="Arial"/>
            <family val="2"/>
          </rPr>
          <t xml:space="preserve">Aug 2026 cargo outlook x 3.7 TBtu</t>
        </r>
      </text>
    </comment>
    <comment ref="B17" authorId="0">
      <text>
        <r>
          <rPr>
            <sz val="10"/>
            <rFont val="Arial"/>
            <family val="2"/>
          </rPr>
          <t xml:space="preserve">Q2 2026 deck $1 sensitivity midpoint</t>
        </r>
      </text>
    </comment>
    <comment ref="B18" authorId="0">
      <text>
        <r>
          <rPr>
            <sz val="10"/>
            <rFont val="Arial"/>
            <family val="2"/>
          </rPr>
          <t xml:space="preserve">Aug 2026 release</t>
        </r>
      </text>
    </comment>
    <comment ref="B19" authorId="0">
      <text>
        <r>
          <rPr>
            <sz val="10"/>
            <rFont val="Arial"/>
            <family val="2"/>
          </rPr>
          <t xml:space="preserve">midpoint of $12.50-13.50, Aug 2026 release</t>
        </r>
      </text>
    </comment>
    <comment ref="B20" authorId="0">
      <text>
        <r>
          <rPr>
            <sz val="10"/>
            <rFont val="Arial"/>
            <family val="2"/>
          </rPr>
          <t xml:space="preserve">Aug 2026 release</t>
        </r>
      </text>
    </comment>
    <comment ref="B21" authorId="0">
      <text>
        <r>
          <rPr>
            <sz val="10"/>
            <rFont val="Arial"/>
            <family val="2"/>
          </rPr>
          <t xml:space="preserve">Q4 2025 deck ($110m Q1) + Q1 2026 deck ($300-350m Q2-Q4)</t>
        </r>
      </text>
    </comment>
    <comment ref="B22" authorId="0">
      <text>
        <r>
          <rPr>
            <sz val="10"/>
            <rFont val="Arial"/>
            <family val="2"/>
          </rPr>
          <t xml:space="preserve">ASSUMPTION: half of the lender-sizing back-solve (waterfall.py)</t>
        </r>
      </text>
    </comment>
    <comment ref="B23" authorId="0">
      <text>
        <r>
          <rPr>
            <sz val="10"/>
            <rFont val="Arial"/>
            <family val="2"/>
          </rPr>
          <t xml:space="preserve">ASSUMPTION: top of contract-market anchors, bottom of Sabel's $3.50-4.50</t>
        </r>
      </text>
    </comment>
    <comment ref="B24" authorId="0">
      <text>
        <r>
          <rPr>
            <sz val="10"/>
            <rFont val="Arial"/>
            <family val="2"/>
          </rPr>
          <t xml:space="preserve">ASSUMPTION (Calcasieu-like)</t>
        </r>
      </text>
    </comment>
    <comment ref="B25" authorId="0">
      <text>
        <r>
          <rPr>
            <sz val="10"/>
            <rFont val="Arial"/>
            <family val="2"/>
          </rPr>
          <t xml:space="preserve">10 + 20 MTPA x 52</t>
        </r>
      </text>
    </comment>
    <comment ref="B26" authorId="0">
      <text>
        <r>
          <rPr>
            <sz val="10"/>
            <rFont val="Arial"/>
            <family val="2"/>
          </rPr>
          <t xml:space="preserve">Company convention, IPO prospectus 424B4 (24 Jan 2025): 17.5% of the fixed facility charge rises 2.5% a year after the first full year post-COD</t>
        </r>
      </text>
    </comment>
    <comment ref="B27" authorId="0">
      <text>
        <r>
          <rPr>
            <sz val="10"/>
            <rFont val="Arial"/>
            <family val="2"/>
          </rPr>
          <t xml:space="preserve">Company convention, 424B4</t>
        </r>
      </text>
    </comment>
    <comment ref="B28" authorId="0">
      <text>
        <r>
          <rPr>
            <sz val="10"/>
            <rFont val="Arial"/>
            <family val="2"/>
          </rPr>
          <t xml:space="preserve">Sensitivity: 2.5% takes value to about 4.85 (model_v8.txt)</t>
        </r>
      </text>
    </comment>
    <comment ref="B29" authorId="0">
      <text>
        <r>
          <rPr>
            <sz val="10"/>
            <rFont val="Arial"/>
            <family val="2"/>
          </rPr>
          <t xml:space="preserve">ASSUMPTION</t>
        </r>
      </text>
    </comment>
    <comment ref="B30" authorId="0">
      <text>
        <r>
          <rPr>
            <sz val="10"/>
            <rFont val="Arial"/>
            <family val="2"/>
          </rPr>
          <t xml:space="preserve">ASSUMPTION</t>
        </r>
      </text>
    </comment>
    <comment ref="B31" authorId="0">
      <text>
        <r>
          <rPr>
            <sz val="10"/>
            <rFont val="Arial"/>
            <family val="2"/>
          </rPr>
          <t xml:space="preserve">ASSUMPTION: 20-year SPAs run off around 2049</t>
        </r>
      </text>
    </comment>
    <comment ref="B37" authorId="0">
      <text>
        <r>
          <rPr>
            <sz val="10"/>
            <rFont val="Arial"/>
            <family val="2"/>
          </rPr>
          <t xml:space="preserve">COD Apr 2025</t>
        </r>
      </text>
    </comment>
    <comment ref="B38" authorId="0">
      <text>
        <r>
          <rPr>
            <sz val="10"/>
            <rFont val="Arial"/>
            <family val="2"/>
          </rPr>
          <t xml:space="preserve">COD Q4 2026</t>
        </r>
      </text>
    </comment>
    <comment ref="B39" authorId="0">
      <text>
        <r>
          <rPr>
            <sz val="10"/>
            <rFont val="Arial"/>
            <family val="2"/>
          </rPr>
          <t xml:space="preserve">COD mid-2027</t>
        </r>
      </text>
    </comment>
    <comment ref="B40" authorId="0">
      <text>
        <r>
          <rPr>
            <sz val="10"/>
            <rFont val="Arial"/>
            <family val="2"/>
          </rPr>
          <t xml:space="preserve">COD 2029, ASSUMPTION 50/50</t>
        </r>
      </text>
    </comment>
    <comment ref="B41" authorId="0">
      <text>
        <r>
          <rPr>
            <sz val="10"/>
            <rFont val="Arial"/>
            <family val="2"/>
          </rPr>
          <t xml:space="preserve">COD 2030</t>
        </r>
      </text>
    </comment>
    <comment ref="B45" authorId="0">
      <text>
        <r>
          <rPr>
            <sz val="10"/>
            <rFont val="Arial"/>
            <family val="2"/>
          </rPr>
          <t xml:space="preserve">Aug 2026 outlook x 3.7 TBtu; 85 MTPA from 2030</t>
        </r>
      </text>
    </comment>
    <comment ref="B46" authorId="0">
      <text>
        <r>
          <rPr>
            <sz val="10"/>
            <rFont val="Arial"/>
            <family val="2"/>
          </rPr>
          <t xml:space="preserve">$1 sensitivity midpoints (Aug deck); 2030-31 ASSUMPTION</t>
        </r>
      </text>
    </comment>
    <comment ref="B47" authorId="0">
      <text>
        <r>
          <rPr>
            <sz val="10"/>
            <rFont val="Arial"/>
            <family val="2"/>
          </rPr>
          <t xml:space="preserve">CME settlements 7 Oct 2026, JKM less 115% HH less $2</t>
        </r>
      </text>
    </comment>
    <comment ref="B48" authorId="0">
      <text>
        <r>
          <rPr>
            <sz val="10"/>
            <rFont val="Arial"/>
            <family val="2"/>
          </rPr>
          <t xml:space="preserve">ASSUMPTION</t>
        </r>
      </text>
    </comment>
    <comment ref="B49" authorId="0">
      <text>
        <r>
          <rPr>
            <sz val="10"/>
            <rFont val="Arial"/>
            <family val="2"/>
          </rPr>
          <t xml:space="preserve">2027 as 2026, half in 2028, none after (company: declines in 2028)</t>
        </r>
      </text>
    </comment>
    <comment ref="B50" authorId="0">
      <text>
        <r>
          <rPr>
            <sz val="10"/>
            <rFont val="Arial"/>
            <family val="2"/>
          </rPr>
          <t xml:space="preserve">ASSUMPTION</t>
        </r>
      </text>
    </comment>
    <comment ref="B51" authorId="0">
      <text>
        <r>
          <rPr>
            <sz val="10"/>
            <rFont val="Arial"/>
            <family val="2"/>
          </rPr>
          <t xml:space="preserve">ASSUMPTION</t>
        </r>
      </text>
    </comment>
    <comment ref="B52" authorId="0">
      <text>
        <r>
          <rPr>
            <sz val="10"/>
            <rFont val="Arial"/>
            <family val="2"/>
          </rPr>
          <t xml:space="preserve">ASSUMPTION anchored on Q2 2026 (315m, 1.26bn a year), falling as CP2 phases are placed in service</t>
        </r>
      </text>
    </comment>
  </commentList>
</comments>
</file>

<file path=xl/sharedStrings.xml><?xml version="1.0" encoding="utf-8"?>
<sst xmlns="http://schemas.openxmlformats.org/spreadsheetml/2006/main" count="127" uniqueCount="119">
  <si>
    <t xml:space="preserve">Venture Global (VG) model v8 - inputs (blue = input, yellow = key assumption)</t>
  </si>
  <si>
    <t xml:space="preserve">Share price, Oct 7 2026 close ($)</t>
  </si>
  <si>
    <t xml:space="preserve">Diluted shares (bn)</t>
  </si>
  <si>
    <t xml:space="preserve">Tax rate</t>
  </si>
  <si>
    <t xml:space="preserve">Discount rate, contracted cash and capex</t>
  </si>
  <si>
    <t xml:space="preserve">Discount rate, open cargoes</t>
  </si>
  <si>
    <t xml:space="preserve">Cash interest rate on net debt</t>
  </si>
  <si>
    <t xml:space="preserve">P&amp;L interest cost rate before capitalization</t>
  </si>
  <si>
    <t xml:space="preserve">Net debt end-2026 ($bn)</t>
  </si>
  <si>
    <t xml:space="preserve">Series A preferred liquidation ($bn)</t>
  </si>
  <si>
    <t xml:space="preserve">Preferred dividend ($bn/yr)</t>
  </si>
  <si>
    <t xml:space="preserve">Minority share of EBITDA ($bn/yr)</t>
  </si>
  <si>
    <t xml:space="preserve">BP adjustment ($bn)</t>
  </si>
  <si>
    <t xml:space="preserve">Common dividend ($bn/yr)</t>
  </si>
  <si>
    <t xml:space="preserve">2026 volume (TBtu)</t>
  </si>
  <si>
    <t xml:space="preserve">2026 open volume (TBtu)</t>
  </si>
  <si>
    <t xml:space="preserve">2026 contracted fee</t>
  </si>
  <si>
    <t xml:space="preserve">2026 unsold fee assumption</t>
  </si>
  <si>
    <t xml:space="preserve">2026 EBITDA guide midpoint ($bn)</t>
  </si>
  <si>
    <t xml:space="preserve">Plaquemines basis cost 2026 ($bn)</t>
  </si>
  <si>
    <t xml:space="preserve">CP2 contract fee premium over Calcasieu ($/MMBtu)</t>
  </si>
  <si>
    <t xml:space="preserve">Long-run open fee from 2032 ($/MMBtu)</t>
  </si>
  <si>
    <t xml:space="preserve">Contract fee in terminal, before escalation ($/MMBtu)</t>
  </si>
  <si>
    <t xml:space="preserve">Long-term base book (TBtu): Calcasieu + Plaquemines SPAs</t>
  </si>
  <si>
    <t xml:space="preserve">Escalating share of the fixed fee</t>
  </si>
  <si>
    <t xml:space="preserve">Escalation rate a year</t>
  </si>
  <si>
    <t xml:space="preserve">Cost inflation a year (central case 0)</t>
  </si>
  <si>
    <t xml:space="preserve">Maintenance capex in terminal ($bn/yr)</t>
  </si>
  <si>
    <t xml:space="preserve">Terminal D&amp;A tax shield base ($bn/yr)</t>
  </si>
  <si>
    <t xml:space="preserve">Contract run-off year</t>
  </si>
  <si>
    <t xml:space="preserve">2026 all-in cost per MMBtu (calibrated to guidance)</t>
  </si>
  <si>
    <t xml:space="preserve">Underlying cost per MMBtu ex basis</t>
  </si>
  <si>
    <t xml:space="preserve">Escalation tranches (weight, first escalation year)</t>
  </si>
  <si>
    <t xml:space="preserve">Calcasieu (MTPA)</t>
  </si>
  <si>
    <t xml:space="preserve">Plaquemines Phase 1 (MTPA)</t>
  </si>
  <si>
    <t xml:space="preserve">Plaquemines Phase 2 (MTPA)</t>
  </si>
  <si>
    <t xml:space="preserve">CP2 Phase 1 (weight)</t>
  </si>
  <si>
    <t xml:space="preserve">CP2 Phase 2 (weight)</t>
  </si>
  <si>
    <t xml:space="preserve">Annual inputs</t>
  </si>
  <si>
    <t xml:space="preserve">Item</t>
  </si>
  <si>
    <t xml:space="preserve">Volume (TBtu)</t>
  </si>
  <si>
    <t xml:space="preserve">Open volume (TBtu)</t>
  </si>
  <si>
    <t xml:space="preserve">CME futures fee, JKM method ($/MMBtu)</t>
  </si>
  <si>
    <t xml:space="preserve">Contract fee before escalation ($/MMBtu)</t>
  </si>
  <si>
    <t xml:space="preserve">Plaquemines basis cost ($bn)</t>
  </si>
  <si>
    <t xml:space="preserve">Committed capex ($bn)</t>
  </si>
  <si>
    <t xml:space="preserve">D&amp;A ($bn)</t>
  </si>
  <si>
    <t xml:space="preserve">Capitalized interest ($bn)</t>
  </si>
  <si>
    <t xml:space="preserve">Annual model, central case ($bn unless stated)</t>
  </si>
  <si>
    <t xml:space="preserve">Year</t>
  </si>
  <si>
    <t xml:space="preserve">Contracted volume (TBtu)</t>
  </si>
  <si>
    <t xml:space="preserve">Escalation multiplier, base book</t>
  </si>
  <si>
    <t xml:space="preserve">Escalation multiplier, CP2</t>
  </si>
  <si>
    <t xml:space="preserve">Contracted margin before costs</t>
  </si>
  <si>
    <t xml:space="preserve">CP2 contract premium</t>
  </si>
  <si>
    <t xml:space="preserve">Open margin before costs</t>
  </si>
  <si>
    <t xml:space="preserve">Unit cost ($/MMBtu)</t>
  </si>
  <si>
    <t xml:space="preserve">Operating cost</t>
  </si>
  <si>
    <t xml:space="preserve">EBITDA</t>
  </si>
  <si>
    <t xml:space="preserve">Cost on contracted volume</t>
  </si>
  <si>
    <t xml:space="preserve">Cost on open volume</t>
  </si>
  <si>
    <t xml:space="preserve">Contracted EBITDA</t>
  </si>
  <si>
    <t xml:space="preserve">Open EBITDA</t>
  </si>
  <si>
    <t xml:space="preserve">D&amp;A</t>
  </si>
  <si>
    <t xml:space="preserve">Cash interest on opening net debt</t>
  </si>
  <si>
    <t xml:space="preserve">Capitalized interest</t>
  </si>
  <si>
    <t xml:space="preserve">P&amp;L interest after capitalization</t>
  </si>
  <si>
    <t xml:space="preserve">Pre-tax income</t>
  </si>
  <si>
    <t xml:space="preserve">Tax</t>
  </si>
  <si>
    <t xml:space="preserve">Preferred and minority</t>
  </si>
  <si>
    <t xml:space="preserve">Net income to common</t>
  </si>
  <si>
    <t xml:space="preserve">EPS ($)</t>
  </si>
  <si>
    <t xml:space="preserve">Cash tax</t>
  </si>
  <si>
    <t xml:space="preserve">Capex</t>
  </si>
  <si>
    <t xml:space="preserve">Common dividend</t>
  </si>
  <si>
    <t xml:space="preserve">Free cash flow after dividends</t>
  </si>
  <si>
    <t xml:space="preserve">Closing net debt</t>
  </si>
  <si>
    <t xml:space="preserve">Net debt / EBITDA (x)</t>
  </si>
  <si>
    <t xml:space="preserve">Discount factor, contracted</t>
  </si>
  <si>
    <t xml:space="preserve">Discount factor, open</t>
  </si>
  <si>
    <t xml:space="preserve">Discount factor from end-2028, contracted</t>
  </si>
  <si>
    <t xml:space="preserve">Discount factor from end-2028, open</t>
  </si>
  <si>
    <t xml:space="preserve">Contracted and open cash, 2032 to contract run-off, at 2031 volumes ($bn)</t>
  </si>
  <si>
    <t xml:space="preserve">Escalation, base book</t>
  </si>
  <si>
    <t xml:space="preserve">Escalation, CP2</t>
  </si>
  <si>
    <t xml:space="preserve">Unit cost</t>
  </si>
  <si>
    <t xml:space="preserve">Contracted revenue</t>
  </si>
  <si>
    <t xml:space="preserve">Contracted EBITDA after maintenance</t>
  </si>
  <si>
    <t xml:space="preserve">Open EBITDA after maintenance</t>
  </si>
  <si>
    <t xml:space="preserve">DF contracted today</t>
  </si>
  <si>
    <t xml:space="preserve">DF open today</t>
  </si>
  <si>
    <t xml:space="preserve">DF contracted from end-2028</t>
  </si>
  <si>
    <t xml:space="preserve">DF open from end-2028</t>
  </si>
  <si>
    <t xml:space="preserve">Sum of the parts ($bn unless stated)</t>
  </si>
  <si>
    <t xml:space="preserve">PV contracted cash 2027-31</t>
  </si>
  <si>
    <t xml:space="preserve">PV open cargoes 2027-31</t>
  </si>
  <si>
    <t xml:space="preserve">PV committed capex</t>
  </si>
  <si>
    <t xml:space="preserve">PV contracted cash 2032-2049 (escalating)</t>
  </si>
  <si>
    <t xml:space="preserve">PV open cargoes 2032-2049</t>
  </si>
  <si>
    <t xml:space="preserve">PV all volume as open after 2049</t>
  </si>
  <si>
    <t xml:space="preserve">Less net debt end-2026</t>
  </si>
  <si>
    <t xml:space="preserve">Less preferred</t>
  </si>
  <si>
    <t xml:space="preserve">Less Calcasieu minority</t>
  </si>
  <si>
    <t xml:space="preserve">Less BP adjustment</t>
  </si>
  <si>
    <t xml:space="preserve">Equity value today</t>
  </si>
  <si>
    <t xml:space="preserve">Value per share today ($)</t>
  </si>
  <si>
    <t xml:space="preserve">Value at end-2028</t>
  </si>
  <si>
    <t xml:space="preserve">PV contracted cash 2029-31</t>
  </si>
  <si>
    <t xml:space="preserve">PV open cargoes 2029-31</t>
  </si>
  <si>
    <t xml:space="preserve">PV capex 2029-31</t>
  </si>
  <si>
    <t xml:space="preserve">PV contracted cash 2032-2049</t>
  </si>
  <si>
    <t xml:space="preserve">Less net debt end-2028</t>
  </si>
  <si>
    <t xml:space="preserve">Value per share at end-2028 ($) = 24-month target</t>
  </si>
  <si>
    <t xml:space="preserve">Implied equity return a year, incl. dividends</t>
  </si>
  <si>
    <t xml:space="preserve">Share price ($)</t>
  </si>
  <si>
    <t xml:space="preserve">Value per share per $1 of long-run fee</t>
  </si>
  <si>
    <t xml:space="preserve">Long-run fee the price needs ($/MMBtu)</t>
  </si>
  <si>
    <t xml:space="preserve">Value per share today: long-run fee from 2032 (rows) x flat cost per MMBtu (columns), no basis cost, escalation on</t>
  </si>
  <si>
    <t xml:space="preserve">Long-run fee \ cost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</si>
</sst>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00"/>
    <numFmt numFmtId="167" formatCode="0.0%"/>
    <numFmt numFmtId="168" formatCode="0.00%"/>
    <numFmt numFmtId="169" formatCode="#,##0"/>
    <numFmt numFmtId="170" formatCode="0"/>
    <numFmt numFmtId="171" formatCode="0.0"/>
    <numFmt numFmtId="172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13.05</v>
      </c>
    </row>
    <row r="4" customFormat="false" ht="15" hidden="false" customHeight="false" outlineLevel="0" collapsed="false">
      <c r="A4" s="0" t="s">
        <v>2</v>
      </c>
      <c r="B4" s="3" t="n">
        <v>2.643</v>
      </c>
    </row>
    <row r="5" customFormat="false" ht="15" hidden="false" customHeight="false" outlineLevel="0" collapsed="false">
      <c r="A5" s="0" t="s">
        <v>3</v>
      </c>
      <c r="B5" s="4" t="n">
        <v>0.19</v>
      </c>
    </row>
    <row r="6" customFormat="false" ht="15" hidden="false" customHeight="false" outlineLevel="0" collapsed="false">
      <c r="A6" s="0" t="s">
        <v>4</v>
      </c>
      <c r="B6" s="5" t="n">
        <v>0.07</v>
      </c>
    </row>
    <row r="7" customFormat="false" ht="15" hidden="false" customHeight="false" outlineLevel="0" collapsed="false">
      <c r="A7" s="0" t="s">
        <v>5</v>
      </c>
      <c r="B7" s="5" t="n">
        <v>0.1</v>
      </c>
    </row>
    <row r="8" customFormat="false" ht="15" hidden="false" customHeight="false" outlineLevel="0" collapsed="false">
      <c r="A8" s="0" t="s">
        <v>6</v>
      </c>
      <c r="B8" s="6" t="n">
        <v>0.0752460577838925</v>
      </c>
    </row>
    <row r="9" customFormat="false" ht="15" hidden="false" customHeight="false" outlineLevel="0" collapsed="false">
      <c r="A9" s="0" t="s">
        <v>7</v>
      </c>
      <c r="B9" s="6" t="n">
        <v>0.0823367552121918</v>
      </c>
    </row>
    <row r="10" customFormat="false" ht="15" hidden="false" customHeight="false" outlineLevel="0" collapsed="false">
      <c r="A10" s="0" t="s">
        <v>8</v>
      </c>
      <c r="B10" s="2" t="n">
        <v>40.681</v>
      </c>
    </row>
    <row r="11" customFormat="false" ht="15" hidden="false" customHeight="false" outlineLevel="0" collapsed="false">
      <c r="A11" s="0" t="s">
        <v>9</v>
      </c>
      <c r="B11" s="2" t="n">
        <v>3</v>
      </c>
    </row>
    <row r="12" customFormat="false" ht="15" hidden="false" customHeight="false" outlineLevel="0" collapsed="false">
      <c r="A12" s="0" t="s">
        <v>10</v>
      </c>
      <c r="B12" s="3" t="n">
        <v>0.268</v>
      </c>
    </row>
    <row r="13" customFormat="false" ht="15" hidden="false" customHeight="false" outlineLevel="0" collapsed="false">
      <c r="A13" s="0" t="s">
        <v>11</v>
      </c>
      <c r="B13" s="2" t="n">
        <v>0.16</v>
      </c>
    </row>
    <row r="14" customFormat="false" ht="15" hidden="false" customHeight="false" outlineLevel="0" collapsed="false">
      <c r="A14" s="0" t="s">
        <v>12</v>
      </c>
      <c r="B14" s="2" t="n">
        <v>1.4985</v>
      </c>
    </row>
    <row r="15" customFormat="false" ht="15" hidden="false" customHeight="false" outlineLevel="0" collapsed="false">
      <c r="A15" s="0" t="s">
        <v>13</v>
      </c>
      <c r="B15" s="2" t="n">
        <v>0.39968</v>
      </c>
    </row>
    <row r="16" customFormat="false" ht="15" hidden="false" customHeight="false" outlineLevel="0" collapsed="false">
      <c r="A16" s="0" t="s">
        <v>14</v>
      </c>
      <c r="B16" s="7" t="n">
        <v>1883.3</v>
      </c>
    </row>
    <row r="17" customFormat="false" ht="15" hidden="false" customHeight="false" outlineLevel="0" collapsed="false">
      <c r="A17" s="0" t="s">
        <v>15</v>
      </c>
      <c r="B17" s="7" t="n">
        <v>195</v>
      </c>
    </row>
    <row r="18" customFormat="false" ht="15" hidden="false" customHeight="false" outlineLevel="0" collapsed="false">
      <c r="A18" s="0" t="s">
        <v>16</v>
      </c>
      <c r="B18" s="2" t="n">
        <v>5.05</v>
      </c>
    </row>
    <row r="19" customFormat="false" ht="15" hidden="false" customHeight="false" outlineLevel="0" collapsed="false">
      <c r="A19" s="0" t="s">
        <v>17</v>
      </c>
      <c r="B19" s="2" t="n">
        <v>13</v>
      </c>
    </row>
    <row r="20" customFormat="false" ht="15" hidden="false" customHeight="false" outlineLevel="0" collapsed="false">
      <c r="A20" s="0" t="s">
        <v>18</v>
      </c>
      <c r="B20" s="2" t="n">
        <v>8.9</v>
      </c>
    </row>
    <row r="21" customFormat="false" ht="15" hidden="false" customHeight="false" outlineLevel="0" collapsed="false">
      <c r="A21" s="0" t="s">
        <v>19</v>
      </c>
      <c r="B21" s="3" t="n">
        <v>0.435</v>
      </c>
    </row>
    <row r="22" customFormat="false" ht="15" hidden="false" customHeight="false" outlineLevel="0" collapsed="false">
      <c r="A22" s="0" t="s">
        <v>20</v>
      </c>
      <c r="B22" s="8" t="n">
        <v>0.4</v>
      </c>
    </row>
    <row r="23" customFormat="false" ht="15" hidden="false" customHeight="false" outlineLevel="0" collapsed="false">
      <c r="A23" s="0" t="s">
        <v>21</v>
      </c>
      <c r="B23" s="8" t="n">
        <v>3.5</v>
      </c>
    </row>
    <row r="24" customFormat="false" ht="15" hidden="false" customHeight="false" outlineLevel="0" collapsed="false">
      <c r="A24" s="0" t="s">
        <v>22</v>
      </c>
      <c r="B24" s="2" t="n">
        <v>2.45</v>
      </c>
    </row>
    <row r="25" customFormat="false" ht="15" hidden="false" customHeight="false" outlineLevel="0" collapsed="false">
      <c r="A25" s="0" t="s">
        <v>23</v>
      </c>
      <c r="B25" s="7" t="n">
        <v>1560</v>
      </c>
    </row>
    <row r="26" customFormat="false" ht="15" hidden="false" customHeight="false" outlineLevel="0" collapsed="false">
      <c r="A26" s="0" t="s">
        <v>24</v>
      </c>
      <c r="B26" s="4" t="n">
        <v>0.175</v>
      </c>
    </row>
    <row r="27" customFormat="false" ht="15" hidden="false" customHeight="false" outlineLevel="0" collapsed="false">
      <c r="A27" s="0" t="s">
        <v>25</v>
      </c>
      <c r="B27" s="4" t="n">
        <v>0.025</v>
      </c>
    </row>
    <row r="28" customFormat="false" ht="15" hidden="false" customHeight="false" outlineLevel="0" collapsed="false">
      <c r="A28" s="0" t="s">
        <v>26</v>
      </c>
      <c r="B28" s="5" t="n">
        <v>0</v>
      </c>
    </row>
    <row r="29" customFormat="false" ht="15" hidden="false" customHeight="false" outlineLevel="0" collapsed="false">
      <c r="A29" s="0" t="s">
        <v>27</v>
      </c>
      <c r="B29" s="2" t="n">
        <v>1</v>
      </c>
    </row>
    <row r="30" customFormat="false" ht="15" hidden="false" customHeight="false" outlineLevel="0" collapsed="false">
      <c r="A30" s="0" t="s">
        <v>28</v>
      </c>
      <c r="B30" s="2" t="n">
        <v>2.6</v>
      </c>
    </row>
    <row r="31" customFormat="false" ht="15" hidden="false" customHeight="false" outlineLevel="0" collapsed="false">
      <c r="A31" s="0" t="s">
        <v>29</v>
      </c>
      <c r="B31" s="9" t="n">
        <v>2049</v>
      </c>
    </row>
    <row r="33" customFormat="false" ht="15" hidden="false" customHeight="false" outlineLevel="0" collapsed="false">
      <c r="A33" s="0" t="s">
        <v>30</v>
      </c>
      <c r="B33" s="10" t="n">
        <f aca="false">(Inputs!$B$16-Inputs!$B$17)*Inputs!$B$18/Inputs!$B$16+Inputs!$B$17*Inputs!$B$19/Inputs!$B$16-Inputs!$B$20*1000/Inputs!$B$16</f>
        <v>1.14740880369564</v>
      </c>
    </row>
    <row r="34" customFormat="false" ht="15" hidden="false" customHeight="false" outlineLevel="0" collapsed="false">
      <c r="A34" s="0" t="s">
        <v>31</v>
      </c>
      <c r="B34" s="10" t="n">
        <f aca="false">Inputs!$B$33-Inputs!$B$21*1000/Inputs!$B$16</f>
        <v>0.916431264270165</v>
      </c>
    </row>
    <row r="36" customFormat="false" ht="15" hidden="false" customHeight="false" outlineLevel="0" collapsed="false">
      <c r="A36" s="1" t="s">
        <v>32</v>
      </c>
    </row>
    <row r="37" customFormat="false" ht="15" hidden="false" customHeight="false" outlineLevel="0" collapsed="false">
      <c r="A37" s="0" t="s">
        <v>33</v>
      </c>
      <c r="B37" s="11" t="n">
        <v>10</v>
      </c>
      <c r="C37" s="9" t="n">
        <v>2027</v>
      </c>
    </row>
    <row r="38" customFormat="false" ht="15" hidden="false" customHeight="false" outlineLevel="0" collapsed="false">
      <c r="A38" s="0" t="s">
        <v>34</v>
      </c>
      <c r="B38" s="11" t="n">
        <v>13.3</v>
      </c>
      <c r="C38" s="9" t="n">
        <v>2028</v>
      </c>
    </row>
    <row r="39" customFormat="false" ht="15" hidden="false" customHeight="false" outlineLevel="0" collapsed="false">
      <c r="A39" s="0" t="s">
        <v>35</v>
      </c>
      <c r="B39" s="11" t="n">
        <v>6.7</v>
      </c>
      <c r="C39" s="9" t="n">
        <v>2029</v>
      </c>
    </row>
    <row r="40" customFormat="false" ht="15" hidden="false" customHeight="false" outlineLevel="0" collapsed="false">
      <c r="A40" s="0" t="s">
        <v>36</v>
      </c>
      <c r="B40" s="11" t="n">
        <v>0.5</v>
      </c>
      <c r="C40" s="9" t="n">
        <v>2031</v>
      </c>
    </row>
    <row r="41" customFormat="false" ht="15" hidden="false" customHeight="false" outlineLevel="0" collapsed="false">
      <c r="A41" s="0" t="s">
        <v>37</v>
      </c>
      <c r="B41" s="11" t="n">
        <v>0.5</v>
      </c>
      <c r="C41" s="9" t="n">
        <v>2032</v>
      </c>
    </row>
    <row r="43" customFormat="false" ht="15" hidden="false" customHeight="false" outlineLevel="0" collapsed="false">
      <c r="A43" s="1" t="s">
        <v>38</v>
      </c>
    </row>
    <row r="44" customFormat="false" ht="15" hidden="false" customHeight="false" outlineLevel="0" collapsed="false">
      <c r="A44" s="0" t="s">
        <v>39</v>
      </c>
      <c r="B44" s="1" t="n">
        <v>2027</v>
      </c>
      <c r="C44" s="1" t="n">
        <v>2028</v>
      </c>
      <c r="D44" s="1" t="n">
        <v>2029</v>
      </c>
      <c r="E44" s="1" t="n">
        <v>2030</v>
      </c>
      <c r="F44" s="1" t="n">
        <v>2031</v>
      </c>
    </row>
    <row r="45" customFormat="false" ht="15" hidden="false" customHeight="false" outlineLevel="0" collapsed="false">
      <c r="A45" s="0" t="s">
        <v>40</v>
      </c>
      <c r="B45" s="7" t="n">
        <v>2220</v>
      </c>
      <c r="C45" s="7" t="n">
        <v>3330</v>
      </c>
      <c r="D45" s="7" t="n">
        <v>4255</v>
      </c>
      <c r="E45" s="7" t="n">
        <v>4420</v>
      </c>
      <c r="F45" s="7" t="n">
        <v>4420</v>
      </c>
    </row>
    <row r="46" customFormat="false" ht="15" hidden="false" customHeight="false" outlineLevel="0" collapsed="false">
      <c r="A46" s="0" t="s">
        <v>41</v>
      </c>
      <c r="B46" s="7" t="n">
        <v>675</v>
      </c>
      <c r="C46" s="7" t="n">
        <v>1625</v>
      </c>
      <c r="D46" s="7" t="n">
        <v>2475</v>
      </c>
      <c r="E46" s="7" t="n">
        <v>1900</v>
      </c>
      <c r="F46" s="7" t="n">
        <v>1664</v>
      </c>
    </row>
    <row r="47" customFormat="false" ht="15" hidden="false" customHeight="false" outlineLevel="0" collapsed="false">
      <c r="A47" s="0" t="s">
        <v>42</v>
      </c>
      <c r="B47" s="2" t="n">
        <v>15.4101708333333</v>
      </c>
      <c r="C47" s="2" t="n">
        <v>8.03457916666667</v>
      </c>
      <c r="D47" s="2" t="n">
        <v>5.12364166666667</v>
      </c>
      <c r="E47" s="2" t="n">
        <v>3.8009625</v>
      </c>
      <c r="F47" s="2" t="n">
        <v>2.50489583333333</v>
      </c>
    </row>
    <row r="48" customFormat="false" ht="15" hidden="false" customHeight="false" outlineLevel="0" collapsed="false">
      <c r="A48" s="0" t="s">
        <v>43</v>
      </c>
      <c r="B48" s="2" t="n">
        <v>3</v>
      </c>
      <c r="C48" s="2" t="n">
        <v>2.6</v>
      </c>
      <c r="D48" s="2" t="n">
        <v>2.45</v>
      </c>
      <c r="E48" s="2" t="n">
        <v>2.45</v>
      </c>
      <c r="F48" s="2" t="n">
        <v>2.45</v>
      </c>
    </row>
    <row r="49" customFormat="false" ht="15" hidden="false" customHeight="false" outlineLevel="0" collapsed="false">
      <c r="A49" s="0" t="s">
        <v>44</v>
      </c>
      <c r="B49" s="3" t="n">
        <v>0.435</v>
      </c>
      <c r="C49" s="3" t="n">
        <v>0.2175</v>
      </c>
      <c r="D49" s="3" t="n">
        <v>0</v>
      </c>
      <c r="E49" s="3" t="n">
        <v>0</v>
      </c>
      <c r="F49" s="3" t="n">
        <v>0</v>
      </c>
    </row>
    <row r="50" customFormat="false" ht="15" hidden="false" customHeight="false" outlineLevel="0" collapsed="false">
      <c r="A50" s="0" t="s">
        <v>45</v>
      </c>
      <c r="B50" s="11" t="n">
        <v>10</v>
      </c>
      <c r="C50" s="11" t="n">
        <v>8</v>
      </c>
      <c r="D50" s="11" t="n">
        <v>5</v>
      </c>
      <c r="E50" s="11" t="n">
        <v>2</v>
      </c>
      <c r="F50" s="11" t="n">
        <v>1</v>
      </c>
    </row>
    <row r="51" customFormat="false" ht="15" hidden="false" customHeight="false" outlineLevel="0" collapsed="false">
      <c r="A51" s="0" t="s">
        <v>46</v>
      </c>
      <c r="B51" s="2" t="n">
        <v>1.25</v>
      </c>
      <c r="C51" s="2" t="n">
        <v>1.6</v>
      </c>
      <c r="D51" s="2" t="n">
        <v>2</v>
      </c>
      <c r="E51" s="2" t="n">
        <v>2.4</v>
      </c>
      <c r="F51" s="2" t="n">
        <v>2.6</v>
      </c>
    </row>
    <row r="52" customFormat="false" ht="15" hidden="false" customHeight="false" outlineLevel="0" collapsed="false">
      <c r="A52" s="0" t="s">
        <v>47</v>
      </c>
      <c r="B52" s="2" t="n">
        <v>1.4</v>
      </c>
      <c r="C52" s="2" t="n">
        <v>1.1</v>
      </c>
      <c r="D52" s="2" t="n">
        <v>0.6</v>
      </c>
      <c r="E52" s="2" t="n">
        <v>0.2</v>
      </c>
      <c r="F52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0" t="s">
        <v>49</v>
      </c>
      <c r="B2" s="1" t="n">
        <v>2027</v>
      </c>
      <c r="C2" s="1" t="n">
        <v>2028</v>
      </c>
      <c r="D2" s="1" t="n">
        <v>2029</v>
      </c>
      <c r="E2" s="1" t="n">
        <v>2030</v>
      </c>
      <c r="F2" s="1" t="n">
        <v>2031</v>
      </c>
    </row>
    <row r="3" customFormat="false" ht="15" hidden="false" customHeight="false" outlineLevel="0" collapsed="false">
      <c r="A3" s="0" t="s">
        <v>40</v>
      </c>
      <c r="B3" s="12" t="n">
        <f aca="false">Inputs!B$45</f>
        <v>2220</v>
      </c>
      <c r="C3" s="12" t="n">
        <f aca="false">Inputs!C$45</f>
        <v>3330</v>
      </c>
      <c r="D3" s="12" t="n">
        <f aca="false">Inputs!D$45</f>
        <v>4255</v>
      </c>
      <c r="E3" s="12" t="n">
        <f aca="false">Inputs!E$45</f>
        <v>4420</v>
      </c>
      <c r="F3" s="12" t="n">
        <f aca="false">Inputs!F$45</f>
        <v>4420</v>
      </c>
    </row>
    <row r="4" customFormat="false" ht="15" hidden="false" customHeight="false" outlineLevel="0" collapsed="false">
      <c r="A4" s="0" t="s">
        <v>41</v>
      </c>
      <c r="B4" s="12" t="n">
        <f aca="false">Inputs!B$46</f>
        <v>675</v>
      </c>
      <c r="C4" s="12" t="n">
        <f aca="false">Inputs!C$46</f>
        <v>1625</v>
      </c>
      <c r="D4" s="12" t="n">
        <f aca="false">Inputs!D$46</f>
        <v>2475</v>
      </c>
      <c r="E4" s="12" t="n">
        <f aca="false">Inputs!E$46</f>
        <v>1900</v>
      </c>
      <c r="F4" s="12" t="n">
        <f aca="false">Inputs!F$46</f>
        <v>1664</v>
      </c>
    </row>
    <row r="5" customFormat="false" ht="15" hidden="false" customHeight="false" outlineLevel="0" collapsed="false">
      <c r="A5" s="0" t="s">
        <v>50</v>
      </c>
      <c r="B5" s="12" t="n">
        <f aca="false">B3-B4</f>
        <v>1545</v>
      </c>
      <c r="C5" s="12" t="n">
        <f aca="false">C3-C4</f>
        <v>1705</v>
      </c>
      <c r="D5" s="12" t="n">
        <f aca="false">D3-D4</f>
        <v>1780</v>
      </c>
      <c r="E5" s="12" t="n">
        <f aca="false">E3-E4</f>
        <v>2520</v>
      </c>
      <c r="F5" s="12" t="n">
        <f aca="false">F3-F4</f>
        <v>2756</v>
      </c>
    </row>
    <row r="6" customFormat="false" ht="15" hidden="false" customHeight="false" outlineLevel="0" collapsed="false">
      <c r="A6" s="0" t="s">
        <v>51</v>
      </c>
      <c r="B6" s="10" t="n">
        <f aca="false">((Inputs!$B$37*(1+Inputs!$B$26*((1+Inputs!$B$27)^MAX(0,B$2-Inputs!$C$37+1)-1))+Inputs!$B$38*(1+Inputs!$B$26*((1+Inputs!$B$27)^MAX(0,B$2-Inputs!$C$38+1)-1))+Inputs!$B$39*(1+Inputs!$B$26*((1+Inputs!$B$27)^MAX(0,B$2-Inputs!$C$39+1)-1)))/(Inputs!$B$37+Inputs!$B$38+Inputs!$B$39))</f>
        <v>1.00145833333333</v>
      </c>
      <c r="C6" s="10" t="n">
        <f aca="false">((Inputs!$B$37*(1+Inputs!$B$26*((1+Inputs!$B$27)^MAX(0,C$2-Inputs!$C$37+1)-1))+Inputs!$B$38*(1+Inputs!$B$26*((1+Inputs!$B$27)^MAX(0,C$2-Inputs!$C$38+1)-1))+Inputs!$B$39*(1+Inputs!$B$26*((1+Inputs!$B$27)^MAX(0,C$2-Inputs!$C$39+1)-1)))/(Inputs!$B$37+Inputs!$B$38+Inputs!$B$39))</f>
        <v>1.00489270833333</v>
      </c>
      <c r="D6" s="10" t="n">
        <f aca="false">((Inputs!$B$37*(1+Inputs!$B$26*((1+Inputs!$B$27)^MAX(0,D$2-Inputs!$C$37+1)-1))+Inputs!$B$38*(1+Inputs!$B$26*((1+Inputs!$B$27)^MAX(0,D$2-Inputs!$C$38+1)-1))+Inputs!$B$39*(1+Inputs!$B$26*((1+Inputs!$B$27)^MAX(0,D$2-Inputs!$C$39+1)-1)))/(Inputs!$B$37+Inputs!$B$38+Inputs!$B$39))</f>
        <v>1.00939002604167</v>
      </c>
      <c r="E6" s="10" t="n">
        <f aca="false">((Inputs!$B$37*(1+Inputs!$B$26*((1+Inputs!$B$27)^MAX(0,E$2-Inputs!$C$37+1)-1))+Inputs!$B$38*(1+Inputs!$B$26*((1+Inputs!$B$27)^MAX(0,E$2-Inputs!$C$38+1)-1))+Inputs!$B$39*(1+Inputs!$B$26*((1+Inputs!$B$27)^MAX(0,E$2-Inputs!$C$39+1)-1)))/(Inputs!$B$37+Inputs!$B$38+Inputs!$B$39))</f>
        <v>1.01399977669271</v>
      </c>
      <c r="F6" s="10" t="n">
        <f aca="false">((Inputs!$B$37*(1+Inputs!$B$26*((1+Inputs!$B$27)^MAX(0,F$2-Inputs!$C$37+1)-1))+Inputs!$B$38*(1+Inputs!$B$26*((1+Inputs!$B$27)^MAX(0,F$2-Inputs!$C$38+1)-1))+Inputs!$B$39*(1+Inputs!$B$26*((1+Inputs!$B$27)^MAX(0,F$2-Inputs!$C$39+1)-1)))/(Inputs!$B$37+Inputs!$B$38+Inputs!$B$39))</f>
        <v>1.01872477111003</v>
      </c>
    </row>
    <row r="7" customFormat="false" ht="15" hidden="false" customHeight="false" outlineLevel="0" collapsed="false">
      <c r="A7" s="0" t="s">
        <v>52</v>
      </c>
      <c r="B7" s="10" t="n">
        <f aca="false">(Inputs!$B$40*(1+Inputs!$B$26*((1+Inputs!$B$27)^MAX(0,B$2-Inputs!$C$40+1)-1))+Inputs!$B$41*(1+Inputs!$B$26*((1+Inputs!$B$27)^MAX(0,B$2-Inputs!$C$41+1)-1)))</f>
        <v>1</v>
      </c>
      <c r="C7" s="10" t="n">
        <f aca="false">(Inputs!$B$40*(1+Inputs!$B$26*((1+Inputs!$B$27)^MAX(0,C$2-Inputs!$C$40+1)-1))+Inputs!$B$41*(1+Inputs!$B$26*((1+Inputs!$B$27)^MAX(0,C$2-Inputs!$C$41+1)-1)))</f>
        <v>1</v>
      </c>
      <c r="D7" s="10" t="n">
        <f aca="false">(Inputs!$B$40*(1+Inputs!$B$26*((1+Inputs!$B$27)^MAX(0,D$2-Inputs!$C$40+1)-1))+Inputs!$B$41*(1+Inputs!$B$26*((1+Inputs!$B$27)^MAX(0,D$2-Inputs!$C$41+1)-1)))</f>
        <v>1</v>
      </c>
      <c r="E7" s="10" t="n">
        <f aca="false">(Inputs!$B$40*(1+Inputs!$B$26*((1+Inputs!$B$27)^MAX(0,E$2-Inputs!$C$40+1)-1))+Inputs!$B$41*(1+Inputs!$B$26*((1+Inputs!$B$27)^MAX(0,E$2-Inputs!$C$41+1)-1)))</f>
        <v>1</v>
      </c>
      <c r="F7" s="10" t="n">
        <f aca="false">(Inputs!$B$40*(1+Inputs!$B$26*((1+Inputs!$B$27)^MAX(0,F$2-Inputs!$C$40+1)-1))+Inputs!$B$41*(1+Inputs!$B$26*((1+Inputs!$B$27)^MAX(0,F$2-Inputs!$C$41+1)-1)))</f>
        <v>1.0021875</v>
      </c>
    </row>
    <row r="8" customFormat="false" ht="15" hidden="false" customHeight="false" outlineLevel="0" collapsed="false">
      <c r="A8" s="0" t="s">
        <v>53</v>
      </c>
      <c r="B8" s="13" t="n">
        <f aca="false">(MIN(B5,Inputs!$B$25)*Inputs!B$48*B6+MAX(0,B5-Inputs!$B$25)*Inputs!B$48*IF(B$2&gt;=2030,B7,1))/1000</f>
        <v>4.641759375</v>
      </c>
      <c r="C8" s="13" t="n">
        <f aca="false">(MIN(C5,Inputs!$B$25)*Inputs!C$48*C6+MAX(0,C5-Inputs!$B$25)*Inputs!C$48*IF(C$2&gt;=2030,C7,1))/1000</f>
        <v>4.452844825</v>
      </c>
      <c r="D8" s="13" t="n">
        <f aca="false">(MIN(D5,Inputs!$B$25)*Inputs!D$48*D6+MAX(0,D5-Inputs!$B$25)*Inputs!D$48*IF(D$2&gt;=2030,D7,1))/1000</f>
        <v>4.39688867953125</v>
      </c>
      <c r="E8" s="13" t="n">
        <f aca="false">(MIN(E5,Inputs!$B$25)*Inputs!E$48*E6+MAX(0,E5-Inputs!$B$25)*Inputs!E$48*IF(E$2&gt;=2030,E7,1))/1000</f>
        <v>6.22750714651953</v>
      </c>
      <c r="F8" s="13" t="n">
        <f aca="false">(MIN(F5,Inputs!$B$25)*Inputs!F$48*F6+MAX(0,F5-Inputs!$B$25)*Inputs!F$48*IF(F$2&gt;=2030,F7,1))/1000</f>
        <v>6.83017588768252</v>
      </c>
    </row>
    <row r="9" customFormat="false" ht="15" hidden="false" customHeight="false" outlineLevel="0" collapsed="false">
      <c r="A9" s="0" t="s">
        <v>54</v>
      </c>
      <c r="B9" s="13" t="n">
        <f aca="false">IF(B$2&gt;=2030,MAX(0,B5-Inputs!$B$25)*Inputs!$B$22*B7/1000,0)</f>
        <v>0</v>
      </c>
      <c r="C9" s="13" t="n">
        <f aca="false">IF(C$2&gt;=2030,MAX(0,C5-Inputs!$B$25)*Inputs!$B$22*C7/1000,0)</f>
        <v>0</v>
      </c>
      <c r="D9" s="13" t="n">
        <f aca="false">IF(D$2&gt;=2030,MAX(0,D5-Inputs!$B$25)*Inputs!$B$22*D7/1000,0)</f>
        <v>0</v>
      </c>
      <c r="E9" s="13" t="n">
        <f aca="false">IF(E$2&gt;=2030,MAX(0,E5-Inputs!$B$25)*Inputs!$B$22*E7/1000,0)</f>
        <v>0.384</v>
      </c>
      <c r="F9" s="13" t="n">
        <f aca="false">IF(F$2&gt;=2030,MAX(0,F5-Inputs!$B$25)*Inputs!$B$22*F7/1000,0)</f>
        <v>0.4794465</v>
      </c>
    </row>
    <row r="10" customFormat="false" ht="15" hidden="false" customHeight="false" outlineLevel="0" collapsed="false">
      <c r="A10" s="0" t="s">
        <v>55</v>
      </c>
      <c r="B10" s="13" t="n">
        <f aca="false">B4*Inputs!B$47/1000</f>
        <v>10.4018653125</v>
      </c>
      <c r="C10" s="13" t="n">
        <f aca="false">C4*Inputs!C$47/1000</f>
        <v>13.0561911458333</v>
      </c>
      <c r="D10" s="13" t="n">
        <f aca="false">D4*Inputs!D$47/1000</f>
        <v>12.681013125</v>
      </c>
      <c r="E10" s="13" t="n">
        <f aca="false">E4*Inputs!E$47/1000</f>
        <v>7.22182875</v>
      </c>
      <c r="F10" s="13" t="n">
        <f aca="false">F4*Inputs!F$47/1000</f>
        <v>4.16814666666667</v>
      </c>
    </row>
    <row r="11" customFormat="false" ht="15" hidden="false" customHeight="false" outlineLevel="0" collapsed="false">
      <c r="A11" s="0" t="s">
        <v>56</v>
      </c>
      <c r="B11" s="13" t="n">
        <f aca="false">Inputs!$B$34*(1+Inputs!$B$28)^(B$2-2026)</f>
        <v>0.916431264270165</v>
      </c>
      <c r="C11" s="13" t="n">
        <f aca="false">Inputs!$B$34*(1+Inputs!$B$28)^(C$2-2026)</f>
        <v>0.916431264270165</v>
      </c>
      <c r="D11" s="13" t="n">
        <f aca="false">Inputs!$B$34*(1+Inputs!$B$28)^(D$2-2026)</f>
        <v>0.916431264270165</v>
      </c>
      <c r="E11" s="13" t="n">
        <f aca="false">Inputs!$B$34*(1+Inputs!$B$28)^(E$2-2026)</f>
        <v>0.916431264270165</v>
      </c>
      <c r="F11" s="13" t="n">
        <f aca="false">Inputs!$B$34*(1+Inputs!$B$28)^(F$2-2026)</f>
        <v>0.916431264270165</v>
      </c>
    </row>
    <row r="12" customFormat="false" ht="15" hidden="false" customHeight="false" outlineLevel="0" collapsed="false">
      <c r="A12" s="0" t="s">
        <v>57</v>
      </c>
      <c r="B12" s="13" t="n">
        <f aca="false">B11*B3/1000+Inputs!B$49</f>
        <v>2.46947740667977</v>
      </c>
      <c r="C12" s="13" t="n">
        <f aca="false">C11*C3/1000+Inputs!C$49</f>
        <v>3.26921611001965</v>
      </c>
      <c r="D12" s="13" t="n">
        <f aca="false">D11*D3/1000+Inputs!D$49</f>
        <v>3.89941502946955</v>
      </c>
      <c r="E12" s="13" t="n">
        <f aca="false">E11*E3/1000+Inputs!E$49</f>
        <v>4.05062618807413</v>
      </c>
      <c r="F12" s="13" t="n">
        <f aca="false">F11*F3/1000+Inputs!F$49</f>
        <v>4.05062618807413</v>
      </c>
    </row>
    <row r="13" customFormat="false" ht="15" hidden="false" customHeight="false" outlineLevel="0" collapsed="false">
      <c r="A13" s="0" t="s">
        <v>58</v>
      </c>
      <c r="B13" s="13" t="n">
        <f aca="false">B8+B9+B10-B12</f>
        <v>12.5741472808202</v>
      </c>
      <c r="C13" s="13" t="n">
        <f aca="false">C8+C9+C10-C12</f>
        <v>14.2398198608137</v>
      </c>
      <c r="D13" s="13" t="n">
        <f aca="false">D8+D9+D10-D12</f>
        <v>13.1784867750617</v>
      </c>
      <c r="E13" s="13" t="n">
        <f aca="false">E8+E9+E10-E12</f>
        <v>9.78270970844541</v>
      </c>
      <c r="F13" s="13" t="n">
        <f aca="false">F8+F9+F10-F12</f>
        <v>7.42714286627506</v>
      </c>
    </row>
    <row r="14" customFormat="false" ht="15" hidden="false" customHeight="false" outlineLevel="0" collapsed="false">
      <c r="A14" s="0" t="s">
        <v>59</v>
      </c>
      <c r="B14" s="13" t="n">
        <f aca="false">B12*B5/B3</f>
        <v>1.71862278978389</v>
      </c>
      <c r="C14" s="13" t="n">
        <f aca="false">C12*C5/C3</f>
        <v>1.67387791819324</v>
      </c>
      <c r="D14" s="13" t="n">
        <f aca="false">D12*D5/D3</f>
        <v>1.63124765040089</v>
      </c>
      <c r="E14" s="13" t="n">
        <f aca="false">E12*E5/E3</f>
        <v>2.30940678596081</v>
      </c>
      <c r="F14" s="13" t="n">
        <f aca="false">F12*F5/F3</f>
        <v>2.52568456432857</v>
      </c>
    </row>
    <row r="15" customFormat="false" ht="15" hidden="false" customHeight="false" outlineLevel="0" collapsed="false">
      <c r="A15" s="0" t="s">
        <v>60</v>
      </c>
      <c r="B15" s="13" t="n">
        <f aca="false">B12*B4/B3</f>
        <v>0.750854616895875</v>
      </c>
      <c r="C15" s="13" t="n">
        <f aca="false">C12*C4/C3</f>
        <v>1.5953381918264</v>
      </c>
      <c r="D15" s="13" t="n">
        <f aca="false">D12*D4/D3</f>
        <v>2.26816737906866</v>
      </c>
      <c r="E15" s="13" t="n">
        <f aca="false">E12*E4/E3</f>
        <v>1.74121940211331</v>
      </c>
      <c r="F15" s="13" t="n">
        <f aca="false">F12*F4/F3</f>
        <v>1.52494162374555</v>
      </c>
    </row>
    <row r="16" customFormat="false" ht="15" hidden="false" customHeight="false" outlineLevel="0" collapsed="false">
      <c r="A16" s="0" t="s">
        <v>61</v>
      </c>
      <c r="B16" s="13" t="n">
        <f aca="false">B8+B9-B14</f>
        <v>2.92313658521611</v>
      </c>
      <c r="C16" s="13" t="n">
        <f aca="false">C8+C9-C14</f>
        <v>2.77896690680676</v>
      </c>
      <c r="D16" s="13" t="n">
        <f aca="false">D8+D9-D14</f>
        <v>2.76564102913036</v>
      </c>
      <c r="E16" s="13" t="n">
        <f aca="false">E8+E9-E14</f>
        <v>4.30210036055872</v>
      </c>
      <c r="F16" s="13" t="n">
        <f aca="false">F8+F9-F14</f>
        <v>4.78393782335395</v>
      </c>
    </row>
    <row r="17" customFormat="false" ht="15" hidden="false" customHeight="false" outlineLevel="0" collapsed="false">
      <c r="A17" s="0" t="s">
        <v>62</v>
      </c>
      <c r="B17" s="13" t="n">
        <f aca="false">B10-B15</f>
        <v>9.65101069560412</v>
      </c>
      <c r="C17" s="13" t="n">
        <f aca="false">C10-C15</f>
        <v>11.4608529540069</v>
      </c>
      <c r="D17" s="13" t="n">
        <f aca="false">D10-D15</f>
        <v>10.4128457459313</v>
      </c>
      <c r="E17" s="13" t="n">
        <f aca="false">E10-E15</f>
        <v>5.48060934788669</v>
      </c>
      <c r="F17" s="13" t="n">
        <f aca="false">F10-F15</f>
        <v>2.64320504292111</v>
      </c>
    </row>
    <row r="18" customFormat="false" ht="15" hidden="false" customHeight="false" outlineLevel="0" collapsed="false">
      <c r="A18" s="0" t="s">
        <v>63</v>
      </c>
      <c r="B18" s="13" t="n">
        <f aca="false">Inputs!B$51</f>
        <v>1.25</v>
      </c>
      <c r="C18" s="13" t="n">
        <f aca="false">Inputs!C$51</f>
        <v>1.6</v>
      </c>
      <c r="D18" s="13" t="n">
        <f aca="false">Inputs!D$51</f>
        <v>2</v>
      </c>
      <c r="E18" s="13" t="n">
        <f aca="false">Inputs!E$51</f>
        <v>2.4</v>
      </c>
      <c r="F18" s="13" t="n">
        <f aca="false">Inputs!F$51</f>
        <v>2.6</v>
      </c>
    </row>
    <row r="19" customFormat="false" ht="15" hidden="false" customHeight="false" outlineLevel="0" collapsed="false">
      <c r="A19" s="0" t="s">
        <v>64</v>
      </c>
      <c r="B19" s="13" t="n">
        <f aca="false">Inputs!$B$10*Inputs!$B$8</f>
        <v>3.06108487670653</v>
      </c>
      <c r="C19" s="13" t="n">
        <f aca="false">B31*Inputs!$B$8</f>
        <v>3.30172925292061</v>
      </c>
      <c r="D19" s="13" t="n">
        <f aca="false">C31*Inputs!$B$8</f>
        <v>3.29644898178169</v>
      </c>
      <c r="E19" s="13" t="n">
        <f aca="false">D31*Inputs!$B$8</f>
        <v>3.11835882350802</v>
      </c>
      <c r="F19" s="13" t="n">
        <f aca="false">E31*Inputs!$B$8</f>
        <v>2.90063855277627</v>
      </c>
    </row>
    <row r="20" customFormat="false" ht="15" hidden="false" customHeight="false" outlineLevel="0" collapsed="false">
      <c r="A20" s="0" t="s">
        <v>65</v>
      </c>
      <c r="B20" s="13" t="n">
        <f aca="false">Inputs!B$52</f>
        <v>1.4</v>
      </c>
      <c r="C20" s="13" t="n">
        <f aca="false">Inputs!C$52</f>
        <v>1.1</v>
      </c>
      <c r="D20" s="13" t="n">
        <f aca="false">Inputs!D$52</f>
        <v>0.6</v>
      </c>
      <c r="E20" s="13" t="n">
        <f aca="false">Inputs!E$52</f>
        <v>0.2</v>
      </c>
      <c r="F20" s="13" t="n">
        <f aca="false">Inputs!F$52</f>
        <v>0</v>
      </c>
    </row>
    <row r="21" customFormat="false" ht="15" hidden="false" customHeight="false" outlineLevel="0" collapsed="false">
      <c r="A21" s="0" t="s">
        <v>66</v>
      </c>
      <c r="B21" s="13" t="n">
        <f aca="false">Inputs!$B$10*Inputs!$B$9-B20</f>
        <v>1.94954153878717</v>
      </c>
      <c r="C21" s="13" t="n">
        <f aca="false">B31*Inputs!$B$9-C20</f>
        <v>2.51286267056573</v>
      </c>
      <c r="D21" s="13" t="n">
        <f aca="false">C31*Inputs!$B$9-D20</f>
        <v>3.00708482113383</v>
      </c>
      <c r="E21" s="13" t="n">
        <f aca="false">D31*Inputs!$B$9-E20</f>
        <v>3.21221260856433</v>
      </c>
      <c r="F21" s="13" t="n">
        <f aca="false">E31*Inputs!$B$9-F20</f>
        <v>3.1739758003656</v>
      </c>
    </row>
    <row r="22" customFormat="false" ht="15" hidden="false" customHeight="false" outlineLevel="0" collapsed="false">
      <c r="A22" s="0" t="s">
        <v>67</v>
      </c>
      <c r="B22" s="13" t="n">
        <f aca="false">B13-B18-B21</f>
        <v>9.37460574203306</v>
      </c>
      <c r="C22" s="13" t="n">
        <f aca="false">C13-C18-C21</f>
        <v>10.126957190248</v>
      </c>
      <c r="D22" s="13" t="n">
        <f aca="false">D13-D18-D21</f>
        <v>8.17140195392787</v>
      </c>
      <c r="E22" s="13" t="n">
        <f aca="false">E13-E18-E21</f>
        <v>4.17049709988108</v>
      </c>
      <c r="F22" s="13" t="n">
        <f aca="false">F13-F18-F21</f>
        <v>1.65316706590946</v>
      </c>
    </row>
    <row r="23" customFormat="false" ht="15" hidden="false" customHeight="false" outlineLevel="0" collapsed="false">
      <c r="A23" s="0" t="s">
        <v>68</v>
      </c>
      <c r="B23" s="13" t="n">
        <f aca="false">Inputs!$B$5*MAX(0,B22)</f>
        <v>1.78117509098628</v>
      </c>
      <c r="C23" s="13" t="n">
        <f aca="false">Inputs!$B$5*MAX(0,C22)</f>
        <v>1.92412186614711</v>
      </c>
      <c r="D23" s="13" t="n">
        <f aca="false">Inputs!$B$5*MAX(0,D22)</f>
        <v>1.55256637124629</v>
      </c>
      <c r="E23" s="13" t="n">
        <f aca="false">Inputs!$B$5*MAX(0,E22)</f>
        <v>0.792394448977404</v>
      </c>
      <c r="F23" s="13" t="n">
        <f aca="false">Inputs!$B$5*MAX(0,F22)</f>
        <v>0.314101742522798</v>
      </c>
    </row>
    <row r="24" customFormat="false" ht="15" hidden="false" customHeight="false" outlineLevel="0" collapsed="false">
      <c r="A24" s="0" t="s">
        <v>69</v>
      </c>
      <c r="B24" s="13" t="n">
        <f aca="false">Inputs!$B$12+Inputs!$B$13</f>
        <v>0.428</v>
      </c>
      <c r="C24" s="13" t="n">
        <f aca="false">Inputs!$B$12+Inputs!$B$13</f>
        <v>0.428</v>
      </c>
      <c r="D24" s="13" t="n">
        <f aca="false">Inputs!$B$12+Inputs!$B$13</f>
        <v>0.428</v>
      </c>
      <c r="E24" s="13" t="n">
        <f aca="false">Inputs!$B$12+Inputs!$B$13</f>
        <v>0.428</v>
      </c>
      <c r="F24" s="13" t="n">
        <f aca="false">Inputs!$B$12+Inputs!$B$13</f>
        <v>0.428</v>
      </c>
    </row>
    <row r="25" customFormat="false" ht="15" hidden="false" customHeight="false" outlineLevel="0" collapsed="false">
      <c r="A25" s="0" t="s">
        <v>70</v>
      </c>
      <c r="B25" s="13" t="n">
        <f aca="false">B22-B23-B24</f>
        <v>7.16543065104678</v>
      </c>
      <c r="C25" s="13" t="n">
        <f aca="false">C22-C23-C24</f>
        <v>7.77483532410084</v>
      </c>
      <c r="D25" s="13" t="n">
        <f aca="false">D22-D23-D24</f>
        <v>6.19083558268157</v>
      </c>
      <c r="E25" s="13" t="n">
        <f aca="false">E22-E23-E24</f>
        <v>2.95010265090367</v>
      </c>
      <c r="F25" s="13" t="n">
        <f aca="false">F22-F23-F24</f>
        <v>0.911065323386666</v>
      </c>
    </row>
    <row r="26" customFormat="false" ht="15" hidden="false" customHeight="false" outlineLevel="0" collapsed="false">
      <c r="A26" s="0" t="s">
        <v>71</v>
      </c>
      <c r="B26" s="13" t="n">
        <f aca="false">B25/Inputs!$B$4</f>
        <v>2.71109748431585</v>
      </c>
      <c r="C26" s="13" t="n">
        <f aca="false">C25/Inputs!$B$4</f>
        <v>2.94167057287206</v>
      </c>
      <c r="D26" s="13" t="n">
        <f aca="false">D25/Inputs!$B$4</f>
        <v>2.342351714976</v>
      </c>
      <c r="E26" s="13" t="n">
        <f aca="false">E25/Inputs!$B$4</f>
        <v>1.11619472224884</v>
      </c>
      <c r="F26" s="13" t="n">
        <f aca="false">F25/Inputs!$B$4</f>
        <v>0.344708786752428</v>
      </c>
    </row>
    <row r="27" customFormat="false" ht="15" hidden="false" customHeight="false" outlineLevel="0" collapsed="false">
      <c r="A27" s="0" t="s">
        <v>72</v>
      </c>
      <c r="B27" s="13" t="n">
        <f aca="false">Inputs!$B$5*MAX(0,B13-(B19-B20)-(1+0.3*0))</f>
        <v>1.8834818567816</v>
      </c>
      <c r="C27" s="13" t="n">
        <f aca="false">Inputs!$B$5*MAX(0,C13-(C19-C20)-(1+0.3*1))</f>
        <v>2.04023721549968</v>
      </c>
      <c r="D27" s="13" t="n">
        <f aca="false">Inputs!$B$5*MAX(0,D13-(D19-D20)-(1+0.3*2))</f>
        <v>1.6875871807232</v>
      </c>
      <c r="E27" s="13" t="n">
        <f aca="false">Inputs!$B$5*MAX(0,E13-(E19-E20)-(1+0.3*3))</f>
        <v>0.943226668138104</v>
      </c>
      <c r="F27" s="13" t="n">
        <f aca="false">Inputs!$B$5*MAX(0,F13-(F19-F20)-(1+0.3*4))</f>
        <v>0.44203581956477</v>
      </c>
    </row>
    <row r="28" customFormat="false" ht="15" hidden="false" customHeight="false" outlineLevel="0" collapsed="false">
      <c r="A28" s="0" t="s">
        <v>73</v>
      </c>
      <c r="B28" s="13" t="n">
        <f aca="false">Inputs!B$50</f>
        <v>10</v>
      </c>
      <c r="C28" s="13" t="n">
        <f aca="false">Inputs!C$50</f>
        <v>8</v>
      </c>
      <c r="D28" s="13" t="n">
        <f aca="false">Inputs!D$50</f>
        <v>5</v>
      </c>
      <c r="E28" s="13" t="n">
        <f aca="false">Inputs!E$50</f>
        <v>2</v>
      </c>
      <c r="F28" s="13" t="n">
        <f aca="false">Inputs!F$50</f>
        <v>1</v>
      </c>
    </row>
    <row r="29" customFormat="false" ht="15" hidden="false" customHeight="false" outlineLevel="0" collapsed="false">
      <c r="A29" s="0" t="s">
        <v>74</v>
      </c>
      <c r="B29" s="13" t="n">
        <f aca="false">Inputs!$B$15</f>
        <v>0.39968</v>
      </c>
      <c r="C29" s="13" t="n">
        <f aca="false">Inputs!$B$15</f>
        <v>0.39968</v>
      </c>
      <c r="D29" s="13" t="n">
        <f aca="false">Inputs!$B$15</f>
        <v>0.39968</v>
      </c>
      <c r="E29" s="13" t="n">
        <f aca="false">Inputs!$B$15</f>
        <v>0.39968</v>
      </c>
      <c r="F29" s="13" t="n">
        <f aca="false">Inputs!$B$15</f>
        <v>0.39968</v>
      </c>
    </row>
    <row r="30" customFormat="false" ht="15" hidden="false" customHeight="false" outlineLevel="0" collapsed="false">
      <c r="A30" s="0" t="s">
        <v>75</v>
      </c>
      <c r="B30" s="13" t="n">
        <f aca="false">B13-B19-B27-B28-B24-B29</f>
        <v>-3.1980994526679</v>
      </c>
      <c r="C30" s="13" t="n">
        <f aca="false">C13-C19-C27-C28-C24-C29</f>
        <v>0.0701733923933902</v>
      </c>
      <c r="D30" s="13" t="n">
        <f aca="false">D13-D19-D27-D28-D24-D29</f>
        <v>2.36677061255681</v>
      </c>
      <c r="E30" s="13" t="n">
        <f aca="false">E13-E19-E27-E28-E24-E29</f>
        <v>2.89344421679928</v>
      </c>
      <c r="F30" s="13" t="n">
        <f aca="false">F13-F19-F27-F28-F24-F29</f>
        <v>2.25678849393402</v>
      </c>
    </row>
    <row r="31" customFormat="false" ht="15" hidden="false" customHeight="false" outlineLevel="0" collapsed="false">
      <c r="A31" s="0" t="s">
        <v>76</v>
      </c>
      <c r="B31" s="13" t="n">
        <f aca="false">Inputs!$B$10-B30</f>
        <v>43.8790994526679</v>
      </c>
      <c r="C31" s="13" t="n">
        <f aca="false">B31-C30</f>
        <v>43.8089260602745</v>
      </c>
      <c r="D31" s="13" t="n">
        <f aca="false">C31-D30</f>
        <v>41.4421554477177</v>
      </c>
      <c r="E31" s="13" t="n">
        <f aca="false">D31-E30</f>
        <v>38.5487112309184</v>
      </c>
      <c r="F31" s="13" t="n">
        <f aca="false">E31-F30</f>
        <v>36.2919227369844</v>
      </c>
    </row>
    <row r="32" customFormat="false" ht="15" hidden="false" customHeight="false" outlineLevel="0" collapsed="false">
      <c r="A32" s="0" t="s">
        <v>77</v>
      </c>
      <c r="B32" s="13" t="n">
        <f aca="false">B31/B13</f>
        <v>3.48962824060429</v>
      </c>
      <c r="C32" s="13" t="n">
        <f aca="false">C31/C13</f>
        <v>3.0765084452249</v>
      </c>
      <c r="D32" s="13" t="n">
        <f aca="false">D31/D13</f>
        <v>3.14468240209041</v>
      </c>
      <c r="E32" s="13" t="n">
        <f aca="false">E31/E13</f>
        <v>3.94049423726019</v>
      </c>
      <c r="F32" s="13" t="n">
        <f aca="false">F31/F13</f>
        <v>4.8863908222067</v>
      </c>
    </row>
    <row r="33" customFormat="false" ht="15" hidden="false" customHeight="false" outlineLevel="0" collapsed="false">
      <c r="A33" s="0" t="s">
        <v>78</v>
      </c>
      <c r="B33" s="10" t="n">
        <f aca="false">1/(1+Inputs!$B$6)^(B$2-2026)</f>
        <v>0.934579439252336</v>
      </c>
      <c r="C33" s="10" t="n">
        <f aca="false">1/(1+Inputs!$B$6)^(C$2-2026)</f>
        <v>0.873438728273212</v>
      </c>
      <c r="D33" s="10" t="n">
        <f aca="false">1/(1+Inputs!$B$6)^(D$2-2026)</f>
        <v>0.816297876890852</v>
      </c>
      <c r="E33" s="10" t="n">
        <f aca="false">1/(1+Inputs!$B$6)^(E$2-2026)</f>
        <v>0.762895212047525</v>
      </c>
      <c r="F33" s="10" t="n">
        <f aca="false">1/(1+Inputs!$B$6)^(F$2-2026)</f>
        <v>0.712986179483668</v>
      </c>
    </row>
    <row r="34" customFormat="false" ht="15" hidden="false" customHeight="false" outlineLevel="0" collapsed="false">
      <c r="A34" s="0" t="s">
        <v>79</v>
      </c>
      <c r="B34" s="10" t="n">
        <f aca="false">1/(1+Inputs!$B$7)^(B$2-2026)</f>
        <v>0.909090909090909</v>
      </c>
      <c r="C34" s="10" t="n">
        <f aca="false">1/(1+Inputs!$B$7)^(C$2-2026)</f>
        <v>0.826446280991735</v>
      </c>
      <c r="D34" s="10" t="n">
        <f aca="false">1/(1+Inputs!$B$7)^(D$2-2026)</f>
        <v>0.751314800901578</v>
      </c>
      <c r="E34" s="10" t="n">
        <f aca="false">1/(1+Inputs!$B$7)^(E$2-2026)</f>
        <v>0.683013455365071</v>
      </c>
      <c r="F34" s="10" t="n">
        <f aca="false">1/(1+Inputs!$B$7)^(F$2-2026)</f>
        <v>0.620921323059155</v>
      </c>
    </row>
    <row r="35" customFormat="false" ht="15" hidden="false" customHeight="false" outlineLevel="0" collapsed="false">
      <c r="A35" s="0" t="s">
        <v>80</v>
      </c>
      <c r="B35" s="10" t="n">
        <f aca="false">IF(B$2&gt;2028,1/(1+Inputs!$B$6)^(B$2-2028),0)</f>
        <v>0</v>
      </c>
      <c r="C35" s="10" t="n">
        <f aca="false">IF(C$2&gt;2028,1/(1+Inputs!$B$6)^(C$2-2028),0)</f>
        <v>0</v>
      </c>
      <c r="D35" s="10" t="n">
        <f aca="false">IF(D$2&gt;2028,1/(1+Inputs!$B$6)^(D$2-2028),0)</f>
        <v>0.934579439252336</v>
      </c>
      <c r="E35" s="10" t="n">
        <f aca="false">IF(E$2&gt;2028,1/(1+Inputs!$B$6)^(E$2-2028),0)</f>
        <v>0.873438728273212</v>
      </c>
      <c r="F35" s="10" t="n">
        <f aca="false">IF(F$2&gt;2028,1/(1+Inputs!$B$6)^(F$2-2028),0)</f>
        <v>0.816297876890852</v>
      </c>
    </row>
    <row r="36" customFormat="false" ht="15" hidden="false" customHeight="false" outlineLevel="0" collapsed="false">
      <c r="A36" s="0" t="s">
        <v>81</v>
      </c>
      <c r="B36" s="10" t="n">
        <f aca="false">IF(B$2&gt;2028,1/(1+Inputs!$B$7)^(B$2-2028),0)</f>
        <v>0</v>
      </c>
      <c r="C36" s="10" t="n">
        <f aca="false">IF(C$2&gt;2028,1/(1+Inputs!$B$7)^(C$2-2028),0)</f>
        <v>0</v>
      </c>
      <c r="D36" s="10" t="n">
        <f aca="false">IF(D$2&gt;2028,1/(1+Inputs!$B$7)^(D$2-2028),0)</f>
        <v>0.909090909090909</v>
      </c>
      <c r="E36" s="10" t="n">
        <f aca="false">IF(E$2&gt;2028,1/(1+Inputs!$B$7)^(E$2-2028),0)</f>
        <v>0.826446280991735</v>
      </c>
      <c r="F36" s="10" t="n">
        <f aca="false">IF(F$2&gt;2028,1/(1+Inputs!$B$7)^(F$2-2028),0)</f>
        <v>0.751314800901578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16"/>
  </cols>
  <sheetData>
    <row r="1" customFormat="false" ht="15" hidden="false" customHeight="false" outlineLevel="0" collapsed="false">
      <c r="A1" s="1" t="s">
        <v>82</v>
      </c>
    </row>
    <row r="2" customFormat="false" ht="15" hidden="false" customHeight="false" outlineLevel="0" collapsed="false">
      <c r="A2" s="1" t="s">
        <v>49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  <c r="K2" s="1" t="s">
        <v>92</v>
      </c>
    </row>
    <row r="3" customFormat="false" ht="15" hidden="false" customHeight="false" outlineLevel="0" collapsed="false">
      <c r="A3" s="9" t="n">
        <v>2032</v>
      </c>
      <c r="B3" s="10" t="n">
        <f aca="false">((Inputs!$B$37*(1+Inputs!$B$26*((1+Inputs!$B$27)^MAX(0,$A3-Inputs!$C$37+1)-1))+Inputs!$B$38*(1+Inputs!$B$26*((1+Inputs!$B$27)^MAX(0,$A3-Inputs!$C$38+1)-1))+Inputs!$B$39*(1+Inputs!$B$26*((1+Inputs!$B$27)^MAX(0,$A3-Inputs!$C$39+1)-1)))/(Inputs!$B$37+Inputs!$B$38+Inputs!$B$39))</f>
        <v>1.02356789038778</v>
      </c>
      <c r="C3" s="10" t="n">
        <f aca="false">(Inputs!$B$40*(1+Inputs!$B$26*((1+Inputs!$B$27)^MAX(0,$A3-Inputs!$C$40+1)-1))+Inputs!$B$41*(1+Inputs!$B$26*((1+Inputs!$B$27)^MAX(0,$A3-Inputs!$C$41+1)-1)))</f>
        <v>1.0066171875</v>
      </c>
      <c r="D3" s="10" t="n">
        <f aca="false">Inputs!$B$34*(1+Inputs!$B$28)^($A3-2026)</f>
        <v>0.916431264270165</v>
      </c>
      <c r="E3" s="13" t="n">
        <f aca="false">(MIN(Model!$F$5,Inputs!$B$25)*Inputs!$B$24*B3+MAX(0,Model!$F$5-Inputs!$B$25)*(Inputs!$B$24+Inputs!$B$22)*C3)/1000</f>
        <v>7.34323182237458</v>
      </c>
      <c r="F3" s="13" t="n">
        <f aca="false">E3-D3*Model!$F$5/1000-Inputs!$B$29*Model!$F$5/Model!$F$3</f>
        <v>4.1940178462813</v>
      </c>
      <c r="G3" s="13" t="n">
        <f aca="false">Model!$F$4*(Inputs!$B$23-D3)/1000-Inputs!$B$29*(1-Model!$F$5/Model!$F$3)</f>
        <v>3.92258778801915</v>
      </c>
      <c r="H3" s="14" t="n">
        <f aca="false">1/(1+Inputs!$B$6)^($A3-2026)</f>
        <v>0.666342223816512</v>
      </c>
      <c r="I3" s="14" t="n">
        <f aca="false">1/(1+Inputs!$B$7)^($A3-2026)</f>
        <v>0.564473930053777</v>
      </c>
      <c r="J3" s="14" t="n">
        <f aca="false">1/(1+Inputs!$B$6)^($A3-2028)</f>
        <v>0.762895212047525</v>
      </c>
      <c r="K3" s="14" t="n">
        <f aca="false">1/(1+Inputs!$B$7)^($A3-2028)</f>
        <v>0.683013455365071</v>
      </c>
    </row>
    <row r="4" customFormat="false" ht="15" hidden="false" customHeight="false" outlineLevel="0" collapsed="false">
      <c r="A4" s="9" t="n">
        <v>2033</v>
      </c>
      <c r="B4" s="10" t="n">
        <f aca="false">((Inputs!$B$37*(1+Inputs!$B$26*((1+Inputs!$B$27)^MAX(0,$A4-Inputs!$C$37+1)-1))+Inputs!$B$38*(1+Inputs!$B$26*((1+Inputs!$B$27)^MAX(0,$A4-Inputs!$C$38+1)-1))+Inputs!$B$39*(1+Inputs!$B$26*((1+Inputs!$B$27)^MAX(0,$A4-Inputs!$C$39+1)-1)))/(Inputs!$B$37+Inputs!$B$38+Inputs!$B$39))</f>
        <v>1.02853208764747</v>
      </c>
      <c r="C4" s="10" t="n">
        <f aca="false">(Inputs!$B$40*(1+Inputs!$B$26*((1+Inputs!$B$27)^MAX(0,$A4-Inputs!$C$40+1)-1))+Inputs!$B$41*(1+Inputs!$B$26*((1+Inputs!$B$27)^MAX(0,$A4-Inputs!$C$41+1)-1)))</f>
        <v>1.0111576171875</v>
      </c>
      <c r="D4" s="10" t="n">
        <f aca="false">Inputs!$B$34*(1+Inputs!$B$28)^($A4-2026)</f>
        <v>0.916431264270165</v>
      </c>
      <c r="E4" s="13" t="n">
        <f aca="false">(MIN(Model!$F$5,Inputs!$B$25)*Inputs!$B$24*B4+MAX(0,Model!$F$5-Inputs!$B$25)*(Inputs!$B$24+Inputs!$B$22)*C4)/1000</f>
        <v>7.37768149293395</v>
      </c>
      <c r="F4" s="13" t="n">
        <f aca="false">E4-D4*Model!$F$5/1000-Inputs!$B$29*Model!$F$5/Model!$F$3</f>
        <v>4.22846751684067</v>
      </c>
      <c r="G4" s="13" t="n">
        <f aca="false">Model!$F$4*(Inputs!$B$23-D4)/1000-Inputs!$B$29*(1-Model!$F$5/Model!$F$3)</f>
        <v>3.92258778801915</v>
      </c>
      <c r="H4" s="14" t="n">
        <f aca="false">1/(1+Inputs!$B$6)^($A4-2026)</f>
        <v>0.622749741884591</v>
      </c>
      <c r="I4" s="14" t="n">
        <f aca="false">1/(1+Inputs!$B$7)^($A4-2026)</f>
        <v>0.513158118230707</v>
      </c>
      <c r="J4" s="14" t="n">
        <f aca="false">1/(1+Inputs!$B$6)^($A4-2028)</f>
        <v>0.712986179483668</v>
      </c>
      <c r="K4" s="14" t="n">
        <f aca="false">1/(1+Inputs!$B$7)^($A4-2028)</f>
        <v>0.620921323059155</v>
      </c>
    </row>
    <row r="5" customFormat="false" ht="15" hidden="false" customHeight="false" outlineLevel="0" collapsed="false">
      <c r="A5" s="9" t="n">
        <v>2034</v>
      </c>
      <c r="B5" s="10" t="n">
        <f aca="false">((Inputs!$B$37*(1+Inputs!$B$26*((1+Inputs!$B$27)^MAX(0,$A5-Inputs!$C$37+1)-1))+Inputs!$B$38*(1+Inputs!$B$26*((1+Inputs!$B$27)^MAX(0,$A5-Inputs!$C$38+1)-1))+Inputs!$B$39*(1+Inputs!$B$26*((1+Inputs!$B$27)^MAX(0,$A5-Inputs!$C$39+1)-1)))/(Inputs!$B$37+Inputs!$B$38+Inputs!$B$39))</f>
        <v>1.03362038983866</v>
      </c>
      <c r="C5" s="10" t="n">
        <f aca="false">(Inputs!$B$40*(1+Inputs!$B$26*((1+Inputs!$B$27)^MAX(0,$A5-Inputs!$C$40+1)-1))+Inputs!$B$41*(1+Inputs!$B$26*((1+Inputs!$B$27)^MAX(0,$A5-Inputs!$C$41+1)-1)))</f>
        <v>1.01581155761719</v>
      </c>
      <c r="D5" s="10" t="n">
        <f aca="false">Inputs!$B$34*(1+Inputs!$B$28)^($A5-2026)</f>
        <v>0.916431264270165</v>
      </c>
      <c r="E5" s="13" t="n">
        <f aca="false">(MIN(Model!$F$5,Inputs!$B$25)*Inputs!$B$24*B5+MAX(0,Model!$F$5-Inputs!$B$25)*(Inputs!$B$24+Inputs!$B$22)*C5)/1000</f>
        <v>7.4129924052573</v>
      </c>
      <c r="F5" s="13" t="n">
        <f aca="false">E5-D5*Model!$F$5/1000-Inputs!$B$29*Model!$F$5/Model!$F$3</f>
        <v>4.26377842916402</v>
      </c>
      <c r="G5" s="13" t="n">
        <f aca="false">Model!$F$4*(Inputs!$B$23-D5)/1000-Inputs!$B$29*(1-Model!$F$5/Model!$F$3)</f>
        <v>3.92258778801915</v>
      </c>
      <c r="H5" s="14" t="n">
        <f aca="false">1/(1+Inputs!$B$6)^($A5-2026)</f>
        <v>0.582009104565038</v>
      </c>
      <c r="I5" s="14" t="n">
        <f aca="false">1/(1+Inputs!$B$7)^($A5-2026)</f>
        <v>0.466507380209733</v>
      </c>
      <c r="J5" s="14" t="n">
        <f aca="false">1/(1+Inputs!$B$6)^($A5-2028)</f>
        <v>0.666342223816512</v>
      </c>
      <c r="K5" s="14" t="n">
        <f aca="false">1/(1+Inputs!$B$7)^($A5-2028)</f>
        <v>0.564473930053777</v>
      </c>
    </row>
    <row r="6" customFormat="false" ht="15" hidden="false" customHeight="false" outlineLevel="0" collapsed="false">
      <c r="A6" s="9" t="n">
        <v>2035</v>
      </c>
      <c r="B6" s="10" t="n">
        <f aca="false">((Inputs!$B$37*(1+Inputs!$B$26*((1+Inputs!$B$27)^MAX(0,$A6-Inputs!$C$37+1)-1))+Inputs!$B$38*(1+Inputs!$B$26*((1+Inputs!$B$27)^MAX(0,$A6-Inputs!$C$38+1)-1))+Inputs!$B$39*(1+Inputs!$B$26*((1+Inputs!$B$27)^MAX(0,$A6-Inputs!$C$39+1)-1)))/(Inputs!$B$37+Inputs!$B$38+Inputs!$B$39))</f>
        <v>1.03883589958462</v>
      </c>
      <c r="C6" s="10" t="n">
        <f aca="false">(Inputs!$B$40*(1+Inputs!$B$26*((1+Inputs!$B$27)^MAX(0,$A6-Inputs!$C$40+1)-1))+Inputs!$B$41*(1+Inputs!$B$26*((1+Inputs!$B$27)^MAX(0,$A6-Inputs!$C$41+1)-1)))</f>
        <v>1.02058184655762</v>
      </c>
      <c r="D6" s="10" t="n">
        <f aca="false">Inputs!$B$34*(1+Inputs!$B$28)^($A6-2026)</f>
        <v>0.916431264270165</v>
      </c>
      <c r="E6" s="13" t="n">
        <f aca="false">(MIN(Model!$F$5,Inputs!$B$25)*Inputs!$B$24*B6+MAX(0,Model!$F$5-Inputs!$B$25)*(Inputs!$B$24+Inputs!$B$22)*C6)/1000</f>
        <v>7.44918609038873</v>
      </c>
      <c r="F6" s="13" t="n">
        <f aca="false">E6-D6*Model!$F$5/1000-Inputs!$B$29*Model!$F$5/Model!$F$3</f>
        <v>4.29997211429545</v>
      </c>
      <c r="G6" s="13" t="n">
        <f aca="false">Model!$F$4*(Inputs!$B$23-D6)/1000-Inputs!$B$29*(1-Model!$F$5/Model!$F$3)</f>
        <v>3.92258778801915</v>
      </c>
      <c r="H6" s="14" t="n">
        <f aca="false">1/(1+Inputs!$B$6)^($A6-2026)</f>
        <v>0.543933742584148</v>
      </c>
      <c r="I6" s="14" t="n">
        <f aca="false">1/(1+Inputs!$B$7)^($A6-2026)</f>
        <v>0.424097618372485</v>
      </c>
      <c r="J6" s="14" t="n">
        <f aca="false">1/(1+Inputs!$B$6)^($A6-2028)</f>
        <v>0.622749741884591</v>
      </c>
      <c r="K6" s="14" t="n">
        <f aca="false">1/(1+Inputs!$B$7)^($A6-2028)</f>
        <v>0.513158118230707</v>
      </c>
    </row>
    <row r="7" customFormat="false" ht="15" hidden="false" customHeight="false" outlineLevel="0" collapsed="false">
      <c r="A7" s="9" t="n">
        <v>2036</v>
      </c>
      <c r="B7" s="10" t="n">
        <f aca="false">((Inputs!$B$37*(1+Inputs!$B$26*((1+Inputs!$B$27)^MAX(0,$A7-Inputs!$C$37+1)-1))+Inputs!$B$38*(1+Inputs!$B$26*((1+Inputs!$B$27)^MAX(0,$A7-Inputs!$C$38+1)-1))+Inputs!$B$39*(1+Inputs!$B$26*((1+Inputs!$B$27)^MAX(0,$A7-Inputs!$C$39+1)-1)))/(Inputs!$B$37+Inputs!$B$38+Inputs!$B$39))</f>
        <v>1.04418179707424</v>
      </c>
      <c r="C7" s="10" t="n">
        <f aca="false">(Inputs!$B$40*(1+Inputs!$B$26*((1+Inputs!$B$27)^MAX(0,$A7-Inputs!$C$40+1)-1))+Inputs!$B$41*(1+Inputs!$B$26*((1+Inputs!$B$27)^MAX(0,$A7-Inputs!$C$41+1)-1)))</f>
        <v>1.02547139272156</v>
      </c>
      <c r="D7" s="10" t="n">
        <f aca="false">Inputs!$B$34*(1+Inputs!$B$28)^($A7-2026)</f>
        <v>0.916431264270165</v>
      </c>
      <c r="E7" s="13" t="n">
        <f aca="false">(MIN(Model!$F$5,Inputs!$B$25)*Inputs!$B$24*B7+MAX(0,Model!$F$5-Inputs!$B$25)*(Inputs!$B$24+Inputs!$B$22)*C7)/1000</f>
        <v>7.48628461764845</v>
      </c>
      <c r="F7" s="13" t="n">
        <f aca="false">E7-D7*Model!$F$5/1000-Inputs!$B$29*Model!$F$5/Model!$F$3</f>
        <v>4.33707064155517</v>
      </c>
      <c r="G7" s="13" t="n">
        <f aca="false">Model!$F$4*(Inputs!$B$23-D7)/1000-Inputs!$B$29*(1-Model!$F$5/Model!$F$3)</f>
        <v>3.92258778801915</v>
      </c>
      <c r="H7" s="14" t="n">
        <f aca="false">1/(1+Inputs!$B$6)^($A7-2026)</f>
        <v>0.508349292134718</v>
      </c>
      <c r="I7" s="14" t="n">
        <f aca="false">1/(1+Inputs!$B$7)^($A7-2026)</f>
        <v>0.385543289429531</v>
      </c>
      <c r="J7" s="14" t="n">
        <f aca="false">1/(1+Inputs!$B$6)^($A7-2028)</f>
        <v>0.582009104565038</v>
      </c>
      <c r="K7" s="14" t="n">
        <f aca="false">1/(1+Inputs!$B$7)^($A7-2028)</f>
        <v>0.466507380209733</v>
      </c>
    </row>
    <row r="8" customFormat="false" ht="15" hidden="false" customHeight="false" outlineLevel="0" collapsed="false">
      <c r="A8" s="9" t="n">
        <v>2037</v>
      </c>
      <c r="B8" s="10" t="n">
        <f aca="false">((Inputs!$B$37*(1+Inputs!$B$26*((1+Inputs!$B$27)^MAX(0,$A8-Inputs!$C$37+1)-1))+Inputs!$B$38*(1+Inputs!$B$26*((1+Inputs!$B$27)^MAX(0,$A8-Inputs!$C$38+1)-1))+Inputs!$B$39*(1+Inputs!$B$26*((1+Inputs!$B$27)^MAX(0,$A8-Inputs!$C$39+1)-1)))/(Inputs!$B$37+Inputs!$B$38+Inputs!$B$39))</f>
        <v>1.0496613420011</v>
      </c>
      <c r="C8" s="10" t="n">
        <f aca="false">(Inputs!$B$40*(1+Inputs!$B$26*((1+Inputs!$B$27)^MAX(0,$A8-Inputs!$C$40+1)-1))+Inputs!$B$41*(1+Inputs!$B$26*((1+Inputs!$B$27)^MAX(0,$A8-Inputs!$C$41+1)-1)))</f>
        <v>1.0304831775396</v>
      </c>
      <c r="D8" s="10" t="n">
        <f aca="false">Inputs!$B$34*(1+Inputs!$B$28)^($A8-2026)</f>
        <v>0.916431264270165</v>
      </c>
      <c r="E8" s="13" t="n">
        <f aca="false">(MIN(Model!$F$5,Inputs!$B$25)*Inputs!$B$24*B8+MAX(0,Model!$F$5-Inputs!$B$25)*(Inputs!$B$24+Inputs!$B$22)*C8)/1000</f>
        <v>7.52431060808966</v>
      </c>
      <c r="F8" s="13" t="n">
        <f aca="false">E8-D8*Model!$F$5/1000-Inputs!$B$29*Model!$F$5/Model!$F$3</f>
        <v>4.37509663199638</v>
      </c>
      <c r="G8" s="13" t="n">
        <f aca="false">Model!$F$4*(Inputs!$B$23-D8)/1000-Inputs!$B$29*(1-Model!$F$5/Model!$F$3)</f>
        <v>3.92258778801915</v>
      </c>
      <c r="H8" s="14" t="n">
        <f aca="false">1/(1+Inputs!$B$6)^($A8-2026)</f>
        <v>0.475092796387586</v>
      </c>
      <c r="I8" s="14" t="n">
        <f aca="false">1/(1+Inputs!$B$7)^($A8-2026)</f>
        <v>0.350493899481392</v>
      </c>
      <c r="J8" s="14" t="n">
        <f aca="false">1/(1+Inputs!$B$6)^($A8-2028)</f>
        <v>0.543933742584148</v>
      </c>
      <c r="K8" s="14" t="n">
        <f aca="false">1/(1+Inputs!$B$7)^($A8-2028)</f>
        <v>0.424097618372485</v>
      </c>
    </row>
    <row r="9" customFormat="false" ht="15" hidden="false" customHeight="false" outlineLevel="0" collapsed="false">
      <c r="A9" s="9" t="n">
        <v>2038</v>
      </c>
      <c r="B9" s="10" t="n">
        <f aca="false">((Inputs!$B$37*(1+Inputs!$B$26*((1+Inputs!$B$27)^MAX(0,$A9-Inputs!$C$37+1)-1))+Inputs!$B$38*(1+Inputs!$B$26*((1+Inputs!$B$27)^MAX(0,$A9-Inputs!$C$38+1)-1))+Inputs!$B$39*(1+Inputs!$B$26*((1+Inputs!$B$27)^MAX(0,$A9-Inputs!$C$39+1)-1)))/(Inputs!$B$37+Inputs!$B$38+Inputs!$B$39))</f>
        <v>1.05527787555112</v>
      </c>
      <c r="C9" s="10" t="n">
        <f aca="false">(Inputs!$B$40*(1+Inputs!$B$26*((1+Inputs!$B$27)^MAX(0,$A9-Inputs!$C$40+1)-1))+Inputs!$B$41*(1+Inputs!$B$26*((1+Inputs!$B$27)^MAX(0,$A9-Inputs!$C$41+1)-1)))</f>
        <v>1.03562025697809</v>
      </c>
      <c r="D9" s="10" t="n">
        <f aca="false">Inputs!$B$34*(1+Inputs!$B$28)^($A9-2026)</f>
        <v>0.916431264270165</v>
      </c>
      <c r="E9" s="13" t="n">
        <f aca="false">(MIN(Model!$F$5,Inputs!$B$25)*Inputs!$B$24*B9+MAX(0,Model!$F$5-Inputs!$B$25)*(Inputs!$B$24+Inputs!$B$22)*C9)/1000</f>
        <v>7.5632872482919</v>
      </c>
      <c r="F9" s="13" t="n">
        <f aca="false">E9-D9*Model!$F$5/1000-Inputs!$B$29*Model!$F$5/Model!$F$3</f>
        <v>4.41407327219862</v>
      </c>
      <c r="G9" s="13" t="n">
        <f aca="false">Model!$F$4*(Inputs!$B$23-D9)/1000-Inputs!$B$29*(1-Model!$F$5/Model!$F$3)</f>
        <v>3.92258778801915</v>
      </c>
      <c r="H9" s="14" t="n">
        <f aca="false">1/(1+Inputs!$B$6)^($A9-2026)</f>
        <v>0.444011959240735</v>
      </c>
      <c r="I9" s="14" t="n">
        <f aca="false">1/(1+Inputs!$B$7)^($A9-2026)</f>
        <v>0.318630817710357</v>
      </c>
      <c r="J9" s="14" t="n">
        <f aca="false">1/(1+Inputs!$B$6)^($A9-2028)</f>
        <v>0.508349292134718</v>
      </c>
      <c r="K9" s="14" t="n">
        <f aca="false">1/(1+Inputs!$B$7)^($A9-2028)</f>
        <v>0.385543289429531</v>
      </c>
    </row>
    <row r="10" customFormat="false" ht="15" hidden="false" customHeight="false" outlineLevel="0" collapsed="false">
      <c r="A10" s="9" t="n">
        <v>2039</v>
      </c>
      <c r="B10" s="10" t="n">
        <f aca="false">((Inputs!$B$37*(1+Inputs!$B$26*((1+Inputs!$B$27)^MAX(0,$A10-Inputs!$C$37+1)-1))+Inputs!$B$38*(1+Inputs!$B$26*((1+Inputs!$B$27)^MAX(0,$A10-Inputs!$C$38+1)-1))+Inputs!$B$39*(1+Inputs!$B$26*((1+Inputs!$B$27)^MAX(0,$A10-Inputs!$C$39+1)-1)))/(Inputs!$B$37+Inputs!$B$38+Inputs!$B$39))</f>
        <v>1.0610348224399</v>
      </c>
      <c r="C10" s="10" t="n">
        <f aca="false">(Inputs!$B$40*(1+Inputs!$B$26*((1+Inputs!$B$27)^MAX(0,$A10-Inputs!$C$40+1)-1))+Inputs!$B$41*(1+Inputs!$B$26*((1+Inputs!$B$27)^MAX(0,$A10-Inputs!$C$41+1)-1)))</f>
        <v>1.04088576340254</v>
      </c>
      <c r="D10" s="10" t="n">
        <f aca="false">Inputs!$B$34*(1+Inputs!$B$28)^($A10-2026)</f>
        <v>0.916431264270165</v>
      </c>
      <c r="E10" s="13" t="n">
        <f aca="false">(MIN(Model!$F$5,Inputs!$B$25)*Inputs!$B$24*B10+MAX(0,Model!$F$5-Inputs!$B$25)*(Inputs!$B$24+Inputs!$B$22)*C10)/1000</f>
        <v>7.6032383044992</v>
      </c>
      <c r="F10" s="13" t="n">
        <f aca="false">E10-D10*Model!$F$5/1000-Inputs!$B$29*Model!$F$5/Model!$F$3</f>
        <v>4.45402432840592</v>
      </c>
      <c r="G10" s="13" t="n">
        <f aca="false">Model!$F$4*(Inputs!$B$23-D10)/1000-Inputs!$B$29*(1-Model!$F$5/Model!$F$3)</f>
        <v>3.92258778801915</v>
      </c>
      <c r="H10" s="14" t="n">
        <f aca="false">1/(1+Inputs!$B$6)^($A10-2026)</f>
        <v>0.414964447888537</v>
      </c>
      <c r="I10" s="14" t="n">
        <f aca="false">1/(1+Inputs!$B$7)^($A10-2026)</f>
        <v>0.289664379736688</v>
      </c>
      <c r="J10" s="14" t="n">
        <f aca="false">1/(1+Inputs!$B$6)^($A10-2028)</f>
        <v>0.475092796387586</v>
      </c>
      <c r="K10" s="14" t="n">
        <f aca="false">1/(1+Inputs!$B$7)^($A10-2028)</f>
        <v>0.350493899481392</v>
      </c>
    </row>
    <row r="11" customFormat="false" ht="15" hidden="false" customHeight="false" outlineLevel="0" collapsed="false">
      <c r="A11" s="9" t="n">
        <v>2040</v>
      </c>
      <c r="B11" s="10" t="n">
        <f aca="false">((Inputs!$B$37*(1+Inputs!$B$26*((1+Inputs!$B$27)^MAX(0,$A11-Inputs!$C$37+1)-1))+Inputs!$B$38*(1+Inputs!$B$26*((1+Inputs!$B$27)^MAX(0,$A11-Inputs!$C$38+1)-1))+Inputs!$B$39*(1+Inputs!$B$26*((1+Inputs!$B$27)^MAX(0,$A11-Inputs!$C$39+1)-1)))/(Inputs!$B$37+Inputs!$B$38+Inputs!$B$39))</f>
        <v>1.0669356930009</v>
      </c>
      <c r="C11" s="10" t="n">
        <f aca="false">(Inputs!$B$40*(1+Inputs!$B$26*((1+Inputs!$B$27)^MAX(0,$A11-Inputs!$C$40+1)-1))+Inputs!$B$41*(1+Inputs!$B$26*((1+Inputs!$B$27)^MAX(0,$A11-Inputs!$C$41+1)-1)))</f>
        <v>1.0462829074876</v>
      </c>
      <c r="D11" s="10" t="n">
        <f aca="false">Inputs!$B$34*(1+Inputs!$B$28)^($A11-2026)</f>
        <v>0.916431264270165</v>
      </c>
      <c r="E11" s="13" t="n">
        <f aca="false">(MIN(Model!$F$5,Inputs!$B$25)*Inputs!$B$24*B11+MAX(0,Model!$F$5-Inputs!$B$25)*(Inputs!$B$24+Inputs!$B$22)*C11)/1000</f>
        <v>7.64418813711168</v>
      </c>
      <c r="F11" s="13" t="n">
        <f aca="false">E11-D11*Model!$F$5/1000-Inputs!$B$29*Model!$F$5/Model!$F$3</f>
        <v>4.4949741610184</v>
      </c>
      <c r="G11" s="13" t="n">
        <f aca="false">Model!$F$4*(Inputs!$B$23-D11)/1000-Inputs!$B$29*(1-Model!$F$5/Model!$F$3)</f>
        <v>3.92258778801915</v>
      </c>
      <c r="H11" s="14" t="n">
        <f aca="false">1/(1+Inputs!$B$6)^($A11-2026)</f>
        <v>0.387817241017325</v>
      </c>
      <c r="I11" s="14" t="n">
        <f aca="false">1/(1+Inputs!$B$7)^($A11-2026)</f>
        <v>0.26333125430608</v>
      </c>
      <c r="J11" s="14" t="n">
        <f aca="false">1/(1+Inputs!$B$6)^($A11-2028)</f>
        <v>0.444011959240735</v>
      </c>
      <c r="K11" s="14" t="n">
        <f aca="false">1/(1+Inputs!$B$7)^($A11-2028)</f>
        <v>0.318630817710357</v>
      </c>
    </row>
    <row r="12" customFormat="false" ht="15" hidden="false" customHeight="false" outlineLevel="0" collapsed="false">
      <c r="A12" s="9" t="n">
        <v>2041</v>
      </c>
      <c r="B12" s="10" t="n">
        <f aca="false">((Inputs!$B$37*(1+Inputs!$B$26*((1+Inputs!$B$27)^MAX(0,$A12-Inputs!$C$37+1)-1))+Inputs!$B$38*(1+Inputs!$B$26*((1+Inputs!$B$27)^MAX(0,$A12-Inputs!$C$38+1)-1))+Inputs!$B$39*(1+Inputs!$B$26*((1+Inputs!$B$27)^MAX(0,$A12-Inputs!$C$39+1)-1)))/(Inputs!$B$37+Inputs!$B$38+Inputs!$B$39))</f>
        <v>1.07298408532592</v>
      </c>
      <c r="C12" s="10" t="n">
        <f aca="false">(Inputs!$B$40*(1+Inputs!$B$26*((1+Inputs!$B$27)^MAX(0,$A12-Inputs!$C$40+1)-1))+Inputs!$B$41*(1+Inputs!$B$26*((1+Inputs!$B$27)^MAX(0,$A12-Inputs!$C$41+1)-1)))</f>
        <v>1.05181498017479</v>
      </c>
      <c r="D12" s="10" t="n">
        <f aca="false">Inputs!$B$34*(1+Inputs!$B$28)^($A12-2026)</f>
        <v>0.916431264270165</v>
      </c>
      <c r="E12" s="13" t="n">
        <f aca="false">(MIN(Model!$F$5,Inputs!$B$25)*Inputs!$B$24*B12+MAX(0,Model!$F$5-Inputs!$B$25)*(Inputs!$B$24+Inputs!$B$22)*C12)/1000</f>
        <v>7.68616171553947</v>
      </c>
      <c r="F12" s="13" t="n">
        <f aca="false">E12-D12*Model!$F$5/1000-Inputs!$B$29*Model!$F$5/Model!$F$3</f>
        <v>4.53694773944619</v>
      </c>
      <c r="G12" s="13" t="n">
        <f aca="false">Model!$F$4*(Inputs!$B$23-D12)/1000-Inputs!$B$29*(1-Model!$F$5/Model!$F$3)</f>
        <v>3.92258778801915</v>
      </c>
      <c r="H12" s="14" t="n">
        <f aca="false">1/(1+Inputs!$B$6)^($A12-2026)</f>
        <v>0.362446019642359</v>
      </c>
      <c r="I12" s="14" t="n">
        <f aca="false">1/(1+Inputs!$B$7)^($A12-2026)</f>
        <v>0.239392049369163</v>
      </c>
      <c r="J12" s="14" t="n">
        <f aca="false">1/(1+Inputs!$B$6)^($A12-2028)</f>
        <v>0.414964447888537</v>
      </c>
      <c r="K12" s="14" t="n">
        <f aca="false">1/(1+Inputs!$B$7)^($A12-2028)</f>
        <v>0.289664379736688</v>
      </c>
    </row>
    <row r="13" customFormat="false" ht="15" hidden="false" customHeight="false" outlineLevel="0" collapsed="false">
      <c r="A13" s="9" t="n">
        <v>2042</v>
      </c>
      <c r="B13" s="10" t="n">
        <f aca="false">((Inputs!$B$37*(1+Inputs!$B$26*((1+Inputs!$B$27)^MAX(0,$A13-Inputs!$C$37+1)-1))+Inputs!$B$38*(1+Inputs!$B$26*((1+Inputs!$B$27)^MAX(0,$A13-Inputs!$C$38+1)-1))+Inputs!$B$39*(1+Inputs!$B$26*((1+Inputs!$B$27)^MAX(0,$A13-Inputs!$C$39+1)-1)))/(Inputs!$B$37+Inputs!$B$38+Inputs!$B$39))</f>
        <v>1.07918368745907</v>
      </c>
      <c r="C13" s="10" t="n">
        <f aca="false">(Inputs!$B$40*(1+Inputs!$B$26*((1+Inputs!$B$27)^MAX(0,$A13-Inputs!$C$40+1)-1))+Inputs!$B$41*(1+Inputs!$B$26*((1+Inputs!$B$27)^MAX(0,$A13-Inputs!$C$41+1)-1)))</f>
        <v>1.05748535467916</v>
      </c>
      <c r="D13" s="10" t="n">
        <f aca="false">Inputs!$B$34*(1+Inputs!$B$28)^($A13-2026)</f>
        <v>0.916431264270165</v>
      </c>
      <c r="E13" s="13" t="n">
        <f aca="false">(MIN(Model!$F$5,Inputs!$B$25)*Inputs!$B$24*B13+MAX(0,Model!$F$5-Inputs!$B$25)*(Inputs!$B$24+Inputs!$B$22)*C13)/1000</f>
        <v>7.72918463342795</v>
      </c>
      <c r="F13" s="13" t="n">
        <f aca="false">E13-D13*Model!$F$5/1000-Inputs!$B$29*Model!$F$5/Model!$F$3</f>
        <v>4.57997065733468</v>
      </c>
      <c r="G13" s="13" t="n">
        <f aca="false">Model!$F$4*(Inputs!$B$23-D13)/1000-Inputs!$B$29*(1-Model!$F$5/Model!$F$3)</f>
        <v>3.92258778801915</v>
      </c>
      <c r="H13" s="14" t="n">
        <f aca="false">1/(1+Inputs!$B$6)^($A13-2026)</f>
        <v>0.338734597796598</v>
      </c>
      <c r="I13" s="14" t="n">
        <f aca="false">1/(1+Inputs!$B$7)^($A13-2026)</f>
        <v>0.217629135790149</v>
      </c>
      <c r="J13" s="14" t="n">
        <f aca="false">1/(1+Inputs!$B$6)^($A13-2028)</f>
        <v>0.387817241017325</v>
      </c>
      <c r="K13" s="14" t="n">
        <f aca="false">1/(1+Inputs!$B$7)^($A13-2028)</f>
        <v>0.26333125430608</v>
      </c>
    </row>
    <row r="14" customFormat="false" ht="15" hidden="false" customHeight="false" outlineLevel="0" collapsed="false">
      <c r="A14" s="9" t="n">
        <v>2043</v>
      </c>
      <c r="B14" s="10" t="n">
        <f aca="false">((Inputs!$B$37*(1+Inputs!$B$26*((1+Inputs!$B$27)^MAX(0,$A14-Inputs!$C$37+1)-1))+Inputs!$B$38*(1+Inputs!$B$26*((1+Inputs!$B$27)^MAX(0,$A14-Inputs!$C$38+1)-1))+Inputs!$B$39*(1+Inputs!$B$26*((1+Inputs!$B$27)^MAX(0,$A14-Inputs!$C$39+1)-1)))/(Inputs!$B$37+Inputs!$B$38+Inputs!$B$39))</f>
        <v>1.08553827964555</v>
      </c>
      <c r="C14" s="10" t="n">
        <f aca="false">(Inputs!$B$40*(1+Inputs!$B$26*((1+Inputs!$B$27)^MAX(0,$A14-Inputs!$C$40+1)-1))+Inputs!$B$41*(1+Inputs!$B$26*((1+Inputs!$B$27)^MAX(0,$A14-Inputs!$C$41+1)-1)))</f>
        <v>1.06329748854614</v>
      </c>
      <c r="D14" s="10" t="n">
        <f aca="false">Inputs!$B$34*(1+Inputs!$B$28)^($A14-2026)</f>
        <v>0.916431264270165</v>
      </c>
      <c r="E14" s="13" t="n">
        <f aca="false">(MIN(Model!$F$5,Inputs!$B$25)*Inputs!$B$24*B14+MAX(0,Model!$F$5-Inputs!$B$25)*(Inputs!$B$24+Inputs!$B$22)*C14)/1000</f>
        <v>7.77328312426365</v>
      </c>
      <c r="F14" s="13" t="n">
        <f aca="false">E14-D14*Model!$F$5/1000-Inputs!$B$29*Model!$F$5/Model!$F$3</f>
        <v>4.62406914817037</v>
      </c>
      <c r="G14" s="13" t="n">
        <f aca="false">Model!$F$4*(Inputs!$B$23-D14)/1000-Inputs!$B$29*(1-Model!$F$5/Model!$F$3)</f>
        <v>3.92258778801915</v>
      </c>
      <c r="H14" s="14" t="n">
        <f aca="false">1/(1+Inputs!$B$6)^($A14-2026)</f>
        <v>0.31657439046411</v>
      </c>
      <c r="I14" s="14" t="n">
        <f aca="false">1/(1+Inputs!$B$7)^($A14-2026)</f>
        <v>0.197844668900135</v>
      </c>
      <c r="J14" s="14" t="n">
        <f aca="false">1/(1+Inputs!$B$6)^($A14-2028)</f>
        <v>0.362446019642359</v>
      </c>
      <c r="K14" s="14" t="n">
        <f aca="false">1/(1+Inputs!$B$7)^($A14-2028)</f>
        <v>0.239392049369163</v>
      </c>
    </row>
    <row r="15" customFormat="false" ht="15" hidden="false" customHeight="false" outlineLevel="0" collapsed="false">
      <c r="A15" s="9" t="n">
        <v>2044</v>
      </c>
      <c r="B15" s="10" t="n">
        <f aca="false">((Inputs!$B$37*(1+Inputs!$B$26*((1+Inputs!$B$27)^MAX(0,$A15-Inputs!$C$37+1)-1))+Inputs!$B$38*(1+Inputs!$B$26*((1+Inputs!$B$27)^MAX(0,$A15-Inputs!$C$38+1)-1))+Inputs!$B$39*(1+Inputs!$B$26*((1+Inputs!$B$27)^MAX(0,$A15-Inputs!$C$39+1)-1)))/(Inputs!$B$37+Inputs!$B$38+Inputs!$B$39))</f>
        <v>1.09205173663668</v>
      </c>
      <c r="C15" s="10" t="n">
        <f aca="false">(Inputs!$B$40*(1+Inputs!$B$26*((1+Inputs!$B$27)^MAX(0,$A15-Inputs!$C$40+1)-1))+Inputs!$B$41*(1+Inputs!$B$26*((1+Inputs!$B$27)^MAX(0,$A15-Inputs!$C$41+1)-1)))</f>
        <v>1.06925492575979</v>
      </c>
      <c r="D15" s="10" t="n">
        <f aca="false">Inputs!$B$34*(1+Inputs!$B$28)^($A15-2026)</f>
        <v>0.916431264270165</v>
      </c>
      <c r="E15" s="13" t="n">
        <f aca="false">(MIN(Model!$F$5,Inputs!$B$25)*Inputs!$B$24*B15+MAX(0,Model!$F$5-Inputs!$B$25)*(Inputs!$B$24+Inputs!$B$22)*C15)/1000</f>
        <v>7.81848407737024</v>
      </c>
      <c r="F15" s="13" t="n">
        <f aca="false">E15-D15*Model!$F$5/1000-Inputs!$B$29*Model!$F$5/Model!$F$3</f>
        <v>4.66927010127697</v>
      </c>
      <c r="G15" s="13" t="n">
        <f aca="false">Model!$F$4*(Inputs!$B$23-D15)/1000-Inputs!$B$29*(1-Model!$F$5/Model!$F$3)</f>
        <v>3.92258778801915</v>
      </c>
      <c r="H15" s="14" t="n">
        <f aca="false">1/(1+Inputs!$B$6)^($A15-2026)</f>
        <v>0.295863916321598</v>
      </c>
      <c r="I15" s="14" t="n">
        <f aca="false">1/(1+Inputs!$B$7)^($A15-2026)</f>
        <v>0.179858789909214</v>
      </c>
      <c r="J15" s="14" t="n">
        <f aca="false">1/(1+Inputs!$B$6)^($A15-2028)</f>
        <v>0.338734597796598</v>
      </c>
      <c r="K15" s="14" t="n">
        <f aca="false">1/(1+Inputs!$B$7)^($A15-2028)</f>
        <v>0.217629135790149</v>
      </c>
    </row>
    <row r="16" customFormat="false" ht="15" hidden="false" customHeight="false" outlineLevel="0" collapsed="false">
      <c r="A16" s="9" t="n">
        <v>2045</v>
      </c>
      <c r="B16" s="10" t="n">
        <f aca="false">((Inputs!$B$37*(1+Inputs!$B$26*((1+Inputs!$B$27)^MAX(0,$A16-Inputs!$C$37+1)-1))+Inputs!$B$38*(1+Inputs!$B$26*((1+Inputs!$B$27)^MAX(0,$A16-Inputs!$C$38+1)-1))+Inputs!$B$39*(1+Inputs!$B$26*((1+Inputs!$B$27)^MAX(0,$A16-Inputs!$C$39+1)-1)))/(Inputs!$B$37+Inputs!$B$38+Inputs!$B$39))</f>
        <v>1.0987280300526</v>
      </c>
      <c r="C16" s="10" t="n">
        <f aca="false">(Inputs!$B$40*(1+Inputs!$B$26*((1+Inputs!$B$27)^MAX(0,$A16-Inputs!$C$40+1)-1))+Inputs!$B$41*(1+Inputs!$B$26*((1+Inputs!$B$27)^MAX(0,$A16-Inputs!$C$41+1)-1)))</f>
        <v>1.07536129890379</v>
      </c>
      <c r="D16" s="10" t="n">
        <f aca="false">Inputs!$B$34*(1+Inputs!$B$28)^($A16-2026)</f>
        <v>0.916431264270165</v>
      </c>
      <c r="E16" s="13" t="n">
        <f aca="false">(MIN(Model!$F$5,Inputs!$B$25)*Inputs!$B$24*B16+MAX(0,Model!$F$5-Inputs!$B$25)*(Inputs!$B$24+Inputs!$B$22)*C16)/1000</f>
        <v>7.8648150543045</v>
      </c>
      <c r="F16" s="13" t="n">
        <f aca="false">E16-D16*Model!$F$5/1000-Inputs!$B$29*Model!$F$5/Model!$F$3</f>
        <v>4.71560107821122</v>
      </c>
      <c r="G16" s="13" t="n">
        <f aca="false">Model!$F$4*(Inputs!$B$23-D16)/1000-Inputs!$B$29*(1-Model!$F$5/Model!$F$3)</f>
        <v>3.92258778801915</v>
      </c>
      <c r="H16" s="14" t="n">
        <f aca="false">1/(1+Inputs!$B$6)^($A16-2026)</f>
        <v>0.276508333010839</v>
      </c>
      <c r="I16" s="14" t="n">
        <f aca="false">1/(1+Inputs!$B$7)^($A16-2026)</f>
        <v>0.163507990826558</v>
      </c>
      <c r="J16" s="14" t="n">
        <f aca="false">1/(1+Inputs!$B$6)^($A16-2028)</f>
        <v>0.31657439046411</v>
      </c>
      <c r="K16" s="14" t="n">
        <f aca="false">1/(1+Inputs!$B$7)^($A16-2028)</f>
        <v>0.197844668900135</v>
      </c>
    </row>
    <row r="17" customFormat="false" ht="15" hidden="false" customHeight="false" outlineLevel="0" collapsed="false">
      <c r="A17" s="9" t="n">
        <v>2046</v>
      </c>
      <c r="B17" s="10" t="n">
        <f aca="false">((Inputs!$B$37*(1+Inputs!$B$26*((1+Inputs!$B$27)^MAX(0,$A17-Inputs!$C$37+1)-1))+Inputs!$B$38*(1+Inputs!$B$26*((1+Inputs!$B$27)^MAX(0,$A17-Inputs!$C$38+1)-1))+Inputs!$B$39*(1+Inputs!$B$26*((1+Inputs!$B$27)^MAX(0,$A17-Inputs!$C$39+1)-1)))/(Inputs!$B$37+Inputs!$B$38+Inputs!$B$39))</f>
        <v>1.10557123080392</v>
      </c>
      <c r="C17" s="10" t="n">
        <f aca="false">(Inputs!$B$40*(1+Inputs!$B$26*((1+Inputs!$B$27)^MAX(0,$A17-Inputs!$C$40+1)-1))+Inputs!$B$41*(1+Inputs!$B$26*((1+Inputs!$B$27)^MAX(0,$A17-Inputs!$C$41+1)-1)))</f>
        <v>1.08162033137638</v>
      </c>
      <c r="D17" s="10" t="n">
        <f aca="false">Inputs!$B$34*(1+Inputs!$B$28)^($A17-2026)</f>
        <v>0.916431264270165</v>
      </c>
      <c r="E17" s="13" t="n">
        <f aca="false">(MIN(Model!$F$5,Inputs!$B$25)*Inputs!$B$24*B17+MAX(0,Model!$F$5-Inputs!$B$25)*(Inputs!$B$24+Inputs!$B$22)*C17)/1000</f>
        <v>7.91230430566211</v>
      </c>
      <c r="F17" s="13" t="n">
        <f aca="false">E17-D17*Model!$F$5/1000-Inputs!$B$29*Model!$F$5/Model!$F$3</f>
        <v>4.76309032956883</v>
      </c>
      <c r="G17" s="13" t="n">
        <f aca="false">Model!$F$4*(Inputs!$B$23-D17)/1000-Inputs!$B$29*(1-Model!$F$5/Model!$F$3)</f>
        <v>3.92258778801915</v>
      </c>
      <c r="H17" s="14" t="n">
        <f aca="false">1/(1+Inputs!$B$6)^($A17-2026)</f>
        <v>0.258419002813868</v>
      </c>
      <c r="I17" s="14" t="n">
        <f aca="false">1/(1+Inputs!$B$7)^($A17-2026)</f>
        <v>0.148643628024143</v>
      </c>
      <c r="J17" s="14" t="n">
        <f aca="false">1/(1+Inputs!$B$6)^($A17-2028)</f>
        <v>0.295863916321598</v>
      </c>
      <c r="K17" s="14" t="n">
        <f aca="false">1/(1+Inputs!$B$7)^($A17-2028)</f>
        <v>0.179858789909214</v>
      </c>
    </row>
    <row r="18" customFormat="false" ht="15" hidden="false" customHeight="false" outlineLevel="0" collapsed="false">
      <c r="A18" s="9" t="n">
        <v>2047</v>
      </c>
      <c r="B18" s="10" t="n">
        <f aca="false">((Inputs!$B$37*(1+Inputs!$B$26*((1+Inputs!$B$27)^MAX(0,$A18-Inputs!$C$37+1)-1))+Inputs!$B$38*(1+Inputs!$B$26*((1+Inputs!$B$27)^MAX(0,$A18-Inputs!$C$38+1)-1))+Inputs!$B$39*(1+Inputs!$B$26*((1+Inputs!$B$27)^MAX(0,$A18-Inputs!$C$39+1)-1)))/(Inputs!$B$37+Inputs!$B$38+Inputs!$B$39))</f>
        <v>1.11258551157401</v>
      </c>
      <c r="C18" s="10" t="n">
        <f aca="false">(Inputs!$B$40*(1+Inputs!$B$26*((1+Inputs!$B$27)^MAX(0,$A18-Inputs!$C$40+1)-1))+Inputs!$B$41*(1+Inputs!$B$26*((1+Inputs!$B$27)^MAX(0,$A18-Inputs!$C$41+1)-1)))</f>
        <v>1.08803583966079</v>
      </c>
      <c r="D18" s="10" t="n">
        <f aca="false">Inputs!$B$34*(1+Inputs!$B$28)^($A18-2026)</f>
        <v>0.916431264270165</v>
      </c>
      <c r="E18" s="13" t="n">
        <f aca="false">(MIN(Model!$F$5,Inputs!$B$25)*Inputs!$B$24*B18+MAX(0,Model!$F$5-Inputs!$B$25)*(Inputs!$B$24+Inputs!$B$22)*C18)/1000</f>
        <v>7.96098078830366</v>
      </c>
      <c r="F18" s="13" t="n">
        <f aca="false">E18-D18*Model!$F$5/1000-Inputs!$B$29*Model!$F$5/Model!$F$3</f>
        <v>4.81176681221039</v>
      </c>
      <c r="G18" s="13" t="n">
        <f aca="false">Model!$F$4*(Inputs!$B$23-D18)/1000-Inputs!$B$29*(1-Model!$F$5/Model!$F$3)</f>
        <v>3.92258778801915</v>
      </c>
      <c r="H18" s="14" t="n">
        <f aca="false">1/(1+Inputs!$B$6)^($A18-2026)</f>
        <v>0.241513086741933</v>
      </c>
      <c r="I18" s="14" t="n">
        <f aca="false">1/(1+Inputs!$B$7)^($A18-2026)</f>
        <v>0.135130570931039</v>
      </c>
      <c r="J18" s="14" t="n">
        <f aca="false">1/(1+Inputs!$B$6)^($A18-2028)</f>
        <v>0.276508333010839</v>
      </c>
      <c r="K18" s="14" t="n">
        <f aca="false">1/(1+Inputs!$B$7)^($A18-2028)</f>
        <v>0.163507990826558</v>
      </c>
    </row>
    <row r="19" customFormat="false" ht="15" hidden="false" customHeight="false" outlineLevel="0" collapsed="false">
      <c r="A19" s="9" t="n">
        <v>2048</v>
      </c>
      <c r="B19" s="10" t="n">
        <f aca="false">((Inputs!$B$37*(1+Inputs!$B$26*((1+Inputs!$B$27)^MAX(0,$A19-Inputs!$C$37+1)-1))+Inputs!$B$38*(1+Inputs!$B$26*((1+Inputs!$B$27)^MAX(0,$A19-Inputs!$C$38+1)-1))+Inputs!$B$39*(1+Inputs!$B$26*((1+Inputs!$B$27)^MAX(0,$A19-Inputs!$C$39+1)-1)))/(Inputs!$B$37+Inputs!$B$38+Inputs!$B$39))</f>
        <v>1.11977514936336</v>
      </c>
      <c r="C19" s="10" t="n">
        <f aca="false">(Inputs!$B$40*(1+Inputs!$B$26*((1+Inputs!$B$27)^MAX(0,$A19-Inputs!$C$40+1)-1))+Inputs!$B$41*(1+Inputs!$B$26*((1+Inputs!$B$27)^MAX(0,$A19-Inputs!$C$41+1)-1)))</f>
        <v>1.09461173565231</v>
      </c>
      <c r="D19" s="10" t="n">
        <f aca="false">Inputs!$B$34*(1+Inputs!$B$28)^($A19-2026)</f>
        <v>0.916431264270165</v>
      </c>
      <c r="E19" s="13" t="n">
        <f aca="false">(MIN(Model!$F$5,Inputs!$B$25)*Inputs!$B$24*B19+MAX(0,Model!$F$5-Inputs!$B$25)*(Inputs!$B$24+Inputs!$B$22)*C19)/1000</f>
        <v>8.01087418301126</v>
      </c>
      <c r="F19" s="13" t="n">
        <f aca="false">E19-D19*Model!$F$5/1000-Inputs!$B$29*Model!$F$5/Model!$F$3</f>
        <v>4.86166020691798</v>
      </c>
      <c r="G19" s="13" t="n">
        <f aca="false">Model!$F$4*(Inputs!$B$23-D19)/1000-Inputs!$B$29*(1-Model!$F$5/Model!$F$3)</f>
        <v>3.92258778801915</v>
      </c>
      <c r="H19" s="14" t="n">
        <f aca="false">1/(1+Inputs!$B$6)^($A19-2026)</f>
        <v>0.225713165179377</v>
      </c>
      <c r="I19" s="14" t="n">
        <f aca="false">1/(1+Inputs!$B$7)^($A19-2026)</f>
        <v>0.122845973573672</v>
      </c>
      <c r="J19" s="14" t="n">
        <f aca="false">1/(1+Inputs!$B$6)^($A19-2028)</f>
        <v>0.258419002813868</v>
      </c>
      <c r="K19" s="14" t="n">
        <f aca="false">1/(1+Inputs!$B$7)^($A19-2028)</f>
        <v>0.148643628024143</v>
      </c>
    </row>
    <row r="20" customFormat="false" ht="15" hidden="false" customHeight="false" outlineLevel="0" collapsed="false">
      <c r="A20" s="9" t="n">
        <v>2049</v>
      </c>
      <c r="B20" s="10" t="n">
        <f aca="false">((Inputs!$B$37*(1+Inputs!$B$26*((1+Inputs!$B$27)^MAX(0,$A20-Inputs!$C$37+1)-1))+Inputs!$B$38*(1+Inputs!$B$26*((1+Inputs!$B$27)^MAX(0,$A20-Inputs!$C$38+1)-1))+Inputs!$B$39*(1+Inputs!$B$26*((1+Inputs!$B$27)^MAX(0,$A20-Inputs!$C$39+1)-1)))/(Inputs!$B$37+Inputs!$B$38+Inputs!$B$39))</f>
        <v>1.12714452809745</v>
      </c>
      <c r="C20" s="10" t="n">
        <f aca="false">(Inputs!$B$40*(1+Inputs!$B$26*((1+Inputs!$B$27)^MAX(0,$A20-Inputs!$C$40+1)-1))+Inputs!$B$41*(1+Inputs!$B$26*((1+Inputs!$B$27)^MAX(0,$A20-Inputs!$C$41+1)-1)))</f>
        <v>1.10135202904362</v>
      </c>
      <c r="D20" s="10" t="n">
        <f aca="false">Inputs!$B$34*(1+Inputs!$B$28)^($A20-2026)</f>
        <v>0.916431264270165</v>
      </c>
      <c r="E20" s="13" t="n">
        <f aca="false">(MIN(Model!$F$5,Inputs!$B$25)*Inputs!$B$24*B20+MAX(0,Model!$F$5-Inputs!$B$25)*(Inputs!$B$24+Inputs!$B$22)*C20)/1000</f>
        <v>8.06201491258654</v>
      </c>
      <c r="F20" s="13" t="n">
        <f aca="false">E20-D20*Model!$F$5/1000-Inputs!$B$29*Model!$F$5/Model!$F$3</f>
        <v>4.91280093649326</v>
      </c>
      <c r="G20" s="13" t="n">
        <f aca="false">Model!$F$4*(Inputs!$B$23-D20)/1000-Inputs!$B$29*(1-Model!$F$5/Model!$F$3)</f>
        <v>3.92258778801915</v>
      </c>
      <c r="H20" s="14" t="n">
        <f aca="false">1/(1+Inputs!$B$6)^($A20-2026)</f>
        <v>0.210946883345212</v>
      </c>
      <c r="I20" s="14" t="n">
        <f aca="false">1/(1+Inputs!$B$7)^($A20-2026)</f>
        <v>0.111678157794247</v>
      </c>
      <c r="J20" s="14" t="n">
        <f aca="false">1/(1+Inputs!$B$6)^($A20-2028)</f>
        <v>0.241513086741933</v>
      </c>
      <c r="K20" s="14" t="n">
        <f aca="false">1/(1+Inputs!$B$7)^($A20-2028)</f>
        <v>0.135130570931039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</cols>
  <sheetData>
    <row r="1" customFormat="false" ht="15" hidden="false" customHeight="false" outlineLevel="0" collapsed="false">
      <c r="A1" s="1" t="s">
        <v>93</v>
      </c>
    </row>
    <row r="3" customFormat="false" ht="15" hidden="false" customHeight="false" outlineLevel="0" collapsed="false">
      <c r="A3" s="0" t="s">
        <v>94</v>
      </c>
      <c r="B3" s="13" t="n">
        <f aca="false">SUMPRODUCT((Model!$B$16:$F$16*(1-Inputs!$B$5)+Inputs!$B$5*Model!$B$18:$F$18)*Model!$B$33:$F$33)</f>
        <v>12.9266180939894</v>
      </c>
    </row>
    <row r="4" customFormat="false" ht="15" hidden="false" customHeight="false" outlineLevel="0" collapsed="false">
      <c r="A4" s="0" t="s">
        <v>95</v>
      </c>
      <c r="B4" s="13" t="n">
        <f aca="false">SUMPRODUCT(Model!$B$17:$F$17*(1-Inputs!$B$5)*Model!$B$34:$F$34)</f>
        <v>25.4771752815607</v>
      </c>
    </row>
    <row r="5" customFormat="false" ht="15" hidden="false" customHeight="false" outlineLevel="0" collapsed="false">
      <c r="A5" s="0" t="s">
        <v>96</v>
      </c>
      <c r="B5" s="13" t="n">
        <f aca="false">-SUMPRODUCT(Model!$B$28:$F$28*Model!$B$33:$F$33)</f>
        <v>-22.653570206742</v>
      </c>
    </row>
    <row r="6" customFormat="false" ht="15" hidden="false" customHeight="false" outlineLevel="0" collapsed="false">
      <c r="A6" s="0" t="s">
        <v>97</v>
      </c>
      <c r="B6" s="13" t="n">
        <f aca="false">SUMPRODUCT(('Tail 2032-2049'!$F$3:$F$20*(1-Inputs!$B$5)+Inputs!$B$5*Inputs!$B$30)*'Tail 2032-2049'!$H$3:$H$20)</f>
        <v>29.4263399305081</v>
      </c>
    </row>
    <row r="7" customFormat="false" ht="15" hidden="false" customHeight="false" outlineLevel="0" collapsed="false">
      <c r="A7" s="0" t="s">
        <v>98</v>
      </c>
      <c r="B7" s="13" t="n">
        <f aca="false">SUMPRODUCT('Tail 2032-2049'!$G$3:$G$20*(1-Inputs!$B$5)*'Tail 2032-2049'!$I$3:$I$20)</f>
        <v>16.1801632717228</v>
      </c>
    </row>
    <row r="8" customFormat="false" ht="15" hidden="false" customHeight="false" outlineLevel="0" collapsed="false">
      <c r="A8" s="0" t="s">
        <v>99</v>
      </c>
      <c r="B8" s="13" t="n">
        <f aca="false">((Model!$F$4*(Inputs!$B$23-'Tail 2032-2049'!$D$20)/1000-Inputs!$B$29*(1-Model!$F$5/Model!$F$3))+Model!$F$5*(Inputs!$B$23-'Tail 2032-2049'!$D$20)/1000)*(1-Inputs!$B$5)/Inputs!$B$7/(1+Inputs!$B$7)^(Inputs!$B$31-2026)</f>
        <v>9.98933381864756</v>
      </c>
    </row>
    <row r="9" customFormat="false" ht="15" hidden="false" customHeight="false" outlineLevel="0" collapsed="false">
      <c r="A9" s="0" t="s">
        <v>100</v>
      </c>
      <c r="B9" s="13" t="n">
        <f aca="false">-Inputs!$B$10</f>
        <v>-40.681</v>
      </c>
    </row>
    <row r="10" customFormat="false" ht="15" hidden="false" customHeight="false" outlineLevel="0" collapsed="false">
      <c r="A10" s="0" t="s">
        <v>101</v>
      </c>
      <c r="B10" s="13" t="n">
        <f aca="false">-Inputs!$B$11</f>
        <v>-3</v>
      </c>
    </row>
    <row r="11" customFormat="false" ht="15" hidden="false" customHeight="false" outlineLevel="0" collapsed="false">
      <c r="A11" s="0" t="s">
        <v>102</v>
      </c>
      <c r="B11" s="13" t="n">
        <f aca="false">-Inputs!$B$13*(1-Inputs!$B$5)/Inputs!$B$6</f>
        <v>-1.85142857142857</v>
      </c>
    </row>
    <row r="12" customFormat="false" ht="15" hidden="false" customHeight="false" outlineLevel="0" collapsed="false">
      <c r="A12" s="0" t="s">
        <v>103</v>
      </c>
      <c r="B12" s="13" t="n">
        <f aca="false">-Inputs!$B$14</f>
        <v>-1.4985</v>
      </c>
    </row>
    <row r="13" customFormat="false" ht="15" hidden="false" customHeight="false" outlineLevel="0" collapsed="false">
      <c r="A13" s="0" t="s">
        <v>104</v>
      </c>
      <c r="B13" s="13" t="n">
        <f aca="false">SUM(B3:B12)</f>
        <v>24.315131618258</v>
      </c>
    </row>
    <row r="14" customFormat="false" ht="15" hidden="false" customHeight="false" outlineLevel="0" collapsed="false">
      <c r="A14" s="1" t="s">
        <v>105</v>
      </c>
      <c r="B14" s="13" t="n">
        <f aca="false">B13/Inputs!$B$4</f>
        <v>9.19982278405524</v>
      </c>
    </row>
    <row r="15" customFormat="false" ht="15" hidden="false" customHeight="false" outlineLevel="0" collapsed="false">
      <c r="A15" s="1" t="s">
        <v>106</v>
      </c>
    </row>
    <row r="16" customFormat="false" ht="15" hidden="false" customHeight="false" outlineLevel="0" collapsed="false">
      <c r="A16" s="0" t="s">
        <v>107</v>
      </c>
      <c r="B16" s="13" t="n">
        <f aca="false">SUMPRODUCT((Model!$B$16:$F$16*(1-Inputs!$B$5)+Inputs!$B$5*Model!$B$18:$F$18)*Model!$B$35:$F$35)</f>
        <v>9.45711438288821</v>
      </c>
    </row>
    <row r="17" customFormat="false" ht="15" hidden="false" customHeight="false" outlineLevel="0" collapsed="false">
      <c r="A17" s="0" t="s">
        <v>108</v>
      </c>
      <c r="B17" s="13" t="n">
        <f aca="false">SUMPRODUCT(Model!$B$17:$F$17*(1-Inputs!$B$5)*Model!$B$36:$F$36)</f>
        <v>12.9450406681596</v>
      </c>
    </row>
    <row r="18" customFormat="false" ht="15" hidden="false" customHeight="false" outlineLevel="0" collapsed="false">
      <c r="A18" s="0" t="s">
        <v>109</v>
      </c>
      <c r="B18" s="13" t="n">
        <f aca="false">-SUMPRODUCT(Model!$B$28:$F$28*Model!$B$35:$F$35)</f>
        <v>-7.23607252969896</v>
      </c>
    </row>
    <row r="19" customFormat="false" ht="15" hidden="false" customHeight="false" outlineLevel="0" collapsed="false">
      <c r="A19" s="0" t="s">
        <v>110</v>
      </c>
      <c r="B19" s="13" t="n">
        <f aca="false">SUMPRODUCT(('Tail 2032-2049'!$F$3:$F$20*(1-Inputs!$B$5)+Inputs!$B$5*Inputs!$B$30)*'Tail 2032-2049'!$J$3:$J$20)</f>
        <v>33.6902165864387</v>
      </c>
    </row>
    <row r="20" customFormat="false" ht="15" hidden="false" customHeight="false" outlineLevel="0" collapsed="false">
      <c r="A20" s="0" t="s">
        <v>98</v>
      </c>
      <c r="B20" s="13" t="n">
        <f aca="false">SUMPRODUCT('Tail 2032-2049'!$G$3:$G$20*(1-Inputs!$B$5)*'Tail 2032-2049'!$K$3:$K$20)</f>
        <v>19.5779975587846</v>
      </c>
    </row>
    <row r="21" customFormat="false" ht="15" hidden="false" customHeight="false" outlineLevel="0" collapsed="false">
      <c r="A21" s="0" t="s">
        <v>99</v>
      </c>
      <c r="B21" s="13" t="n">
        <f aca="false">((Model!$F$4*(Inputs!$B$23-'Tail 2032-2049'!$D$20)/1000-Inputs!$B$29*(1-Model!$F$5/Model!$F$3))+Model!$F$5*(Inputs!$B$23-'Tail 2032-2049'!$D$20)/1000)*(1-Inputs!$B$5)/Inputs!$B$7/(1+Inputs!$B$7)^(Inputs!$B$31-2028)</f>
        <v>12.0870939205635</v>
      </c>
    </row>
    <row r="22" customFormat="false" ht="15" hidden="false" customHeight="false" outlineLevel="0" collapsed="false">
      <c r="A22" s="0" t="s">
        <v>111</v>
      </c>
      <c r="B22" s="13" t="n">
        <f aca="false">-Model!$C$31</f>
        <v>-43.8089260602745</v>
      </c>
    </row>
    <row r="23" customFormat="false" ht="15" hidden="false" customHeight="false" outlineLevel="0" collapsed="false">
      <c r="A23" s="0" t="s">
        <v>101</v>
      </c>
      <c r="B23" s="13" t="n">
        <f aca="false">-Inputs!$B$11</f>
        <v>-3</v>
      </c>
    </row>
    <row r="24" customFormat="false" ht="15" hidden="false" customHeight="false" outlineLevel="0" collapsed="false">
      <c r="A24" s="0" t="s">
        <v>102</v>
      </c>
      <c r="B24" s="13" t="n">
        <f aca="false">-Inputs!$B$13*(1-Inputs!$B$5)/Inputs!$B$6</f>
        <v>-1.85142857142857</v>
      </c>
    </row>
    <row r="25" customFormat="false" ht="15" hidden="false" customHeight="false" outlineLevel="0" collapsed="false">
      <c r="A25" s="0" t="s">
        <v>103</v>
      </c>
      <c r="B25" s="13" t="n">
        <f aca="false">-Inputs!$B$14</f>
        <v>-1.4985</v>
      </c>
    </row>
    <row r="26" customFormat="false" ht="15" hidden="false" customHeight="false" outlineLevel="0" collapsed="false">
      <c r="A26" s="1" t="s">
        <v>112</v>
      </c>
      <c r="B26" s="13" t="n">
        <f aca="false">SUM(B16:B25)/Inputs!$B$4</f>
        <v>11.4879061503718</v>
      </c>
    </row>
    <row r="27" customFormat="false" ht="15" hidden="false" customHeight="false" outlineLevel="0" collapsed="false">
      <c r="A27" s="0" t="s">
        <v>113</v>
      </c>
      <c r="B27" s="15" t="n">
        <f aca="false">((B26+2*0.16)/B14)^(1/2.23)-1</f>
        <v>0.118425137862517</v>
      </c>
    </row>
    <row r="28" customFormat="false" ht="15" hidden="false" customHeight="false" outlineLevel="0" collapsed="false">
      <c r="A28" s="0" t="s">
        <v>114</v>
      </c>
      <c r="B28" s="16" t="n">
        <f aca="false">Inputs!$B$3</f>
        <v>13.05</v>
      </c>
    </row>
    <row r="29" customFormat="false" ht="15" hidden="false" customHeight="false" outlineLevel="0" collapsed="false">
      <c r="A29" s="0" t="s">
        <v>115</v>
      </c>
      <c r="B29" s="13" t="n">
        <f aca="false">((Model!$F$4/1000)*(1-Inputs!$B$5)*SUM('Tail 2032-2049'!$I$3:$I$20)+((Model!$F$4+Model!$F$5)/1000)*(1-Inputs!$B$5)/Inputs!$B$7/(1+Inputs!$B$7)^(Inputs!$B$31-2026))/Inputs!$B$4</f>
        <v>4.10975576392591</v>
      </c>
    </row>
    <row r="30" customFormat="false" ht="15" hidden="false" customHeight="false" outlineLevel="0" collapsed="false">
      <c r="A30" s="0" t="s">
        <v>116</v>
      </c>
      <c r="B30" s="13" t="n">
        <f aca="false">Inputs!$B$23+(B28-B14)/B29</f>
        <v>4.4368384490729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0" t="s">
        <v>118</v>
      </c>
      <c r="B3" s="2" t="n">
        <v>1.15</v>
      </c>
      <c r="C3" s="2" t="n">
        <v>0.92</v>
      </c>
      <c r="D3" s="2" t="n">
        <v>0.75</v>
      </c>
      <c r="E3" s="2" t="n">
        <v>0.6</v>
      </c>
    </row>
    <row r="4" customFormat="false" ht="15" hidden="false" customHeight="false" outlineLevel="0" collapsed="false">
      <c r="A4" s="2" t="n">
        <v>2.5</v>
      </c>
      <c r="B4" s="13" t="n">
        <f aca="false">(SUMPRODUCT(((Model!$B$8:$F$8+Model!$B$9:$F$9-B$3*Model!$B$5:$F$5/1000)*(1-Inputs!$B$5)+Inputs!$B$5*Model!$B$18:$F$18)*Model!$B$33:$F$33)+SUMPRODUCT((Model!$B$4:$F$4*Inputs!$B$47:$F$47/1000-B$3*Model!$B$4:$F$4/1000)*(1-Inputs!$B$5)*Model!$B$34:$F$34)-SUMPRODUCT(Model!$B$28:$F$28*Model!$B$33:$F$33)+SUMPRODUCT((('Tail 2032-2049'!$E$3:$E$20-B$3*Model!$F$5/1000-Inputs!$B$29*Model!$F$5/Model!$F$3)*(1-Inputs!$B$5)+Inputs!$B$5*Inputs!$B$30)*'Tail 2032-2049'!$H$3:$H$20)+(Model!$F$4*($A4-B$3)/1000-Inputs!$B$29*(1-Model!$F$5/Model!$F$3))*(1-Inputs!$B$5)*SUM('Tail 2032-2049'!$I$3:$I$20)+((Model!$F$4*($A4-B$3)/1000-Inputs!$B$29*(1-Model!$F$5/Model!$F$3))+Model!$F$5*($A4-B$3)/1000)*(1-Inputs!$B$5)/Inputs!$B$7/(1+Inputs!$B$7)^(Inputs!$B$31-2026)-Inputs!$B$10-Inputs!$B$11-Inputs!$B$13*(1-Inputs!$B$5)/Inputs!$B$6-Inputs!$B$14)/Inputs!$B$4</f>
        <v>1.86326398080301</v>
      </c>
      <c r="C4" s="13" t="n">
        <f aca="false">(SUMPRODUCT(((Model!$B$8:$F$8+Model!$B$9:$F$9-C$3*Model!$B$5:$F$5/1000)*(1-Inputs!$B$5)+Inputs!$B$5*Model!$B$18:$F$18)*Model!$B$33:$F$33)+SUMPRODUCT((Model!$B$4:$F$4*Inputs!$B$47:$F$47/1000-C$3*Model!$B$4:$F$4/1000)*(1-Inputs!$B$5)*Model!$B$34:$F$34)-SUMPRODUCT(Model!$B$28:$F$28*Model!$B$33:$F$33)+SUMPRODUCT((('Tail 2032-2049'!$E$3:$E$20-C$3*Model!$F$5/1000-Inputs!$B$29*Model!$F$5/Model!$F$3)*(1-Inputs!$B$5)+Inputs!$B$5*Inputs!$B$30)*'Tail 2032-2049'!$H$3:$H$20)+(Model!$F$4*($A4-C$3)/1000-Inputs!$B$29*(1-Model!$F$5/Model!$F$3))*(1-Inputs!$B$5)*SUM('Tail 2032-2049'!$I$3:$I$20)+((Model!$F$4*($A4-C$3)/1000-Inputs!$B$29*(1-Model!$F$5/Model!$F$3))+Model!$F$5*($A4-C$3)/1000)*(1-Inputs!$B$5)/Inputs!$B$7/(1+Inputs!$B$7)^(Inputs!$B$31-2026)-Inputs!$B$10-Inputs!$B$11-Inputs!$B$13*(1-Inputs!$B$5)/Inputs!$B$6-Inputs!$B$14)/Inputs!$B$4</f>
        <v>5.21826221438367</v>
      </c>
      <c r="D4" s="13" t="n">
        <f aca="false">(SUMPRODUCT(((Model!$B$8:$F$8+Model!$B$9:$F$9-D$3*Model!$B$5:$F$5/1000)*(1-Inputs!$B$5)+Inputs!$B$5*Model!$B$18:$F$18)*Model!$B$33:$F$33)+SUMPRODUCT((Model!$B$4:$F$4*Inputs!$B$47:$F$47/1000-D$3*Model!$B$4:$F$4/1000)*(1-Inputs!$B$5)*Model!$B$34:$F$34)-SUMPRODUCT(Model!$B$28:$F$28*Model!$B$33:$F$33)+SUMPRODUCT((('Tail 2032-2049'!$E$3:$E$20-D$3*Model!$F$5/1000-Inputs!$B$29*Model!$F$5/Model!$F$3)*(1-Inputs!$B$5)+Inputs!$B$5*Inputs!$B$30)*'Tail 2032-2049'!$H$3:$H$20)+(Model!$F$4*($A4-D$3)/1000-Inputs!$B$29*(1-Model!$F$5/Model!$F$3))*(1-Inputs!$B$5)*SUM('Tail 2032-2049'!$I$3:$I$20)+((Model!$F$4*($A4-D$3)/1000-Inputs!$B$29*(1-Model!$F$5/Model!$F$3))+Model!$F$5*($A4-D$3)/1000)*(1-Inputs!$B$5)/Inputs!$B$7/(1+Inputs!$B$7)^(Inputs!$B$31-2026)-Inputs!$B$10-Inputs!$B$11-Inputs!$B$13*(1-Inputs!$B$5)/Inputs!$B$6-Inputs!$B$14)/Inputs!$B$4</f>
        <v>7.69804351746503</v>
      </c>
      <c r="E4" s="13" t="n">
        <f aca="false">(SUMPRODUCT(((Model!$B$8:$F$8+Model!$B$9:$F$9-E$3*Model!$B$5:$F$5/1000)*(1-Inputs!$B$5)+Inputs!$B$5*Model!$B$18:$F$18)*Model!$B$33:$F$33)+SUMPRODUCT((Model!$B$4:$F$4*Inputs!$B$47:$F$47/1000-E$3*Model!$B$4:$F$4/1000)*(1-Inputs!$B$5)*Model!$B$34:$F$34)-SUMPRODUCT(Model!$B$28:$F$28*Model!$B$33:$F$33)+SUMPRODUCT((('Tail 2032-2049'!$E$3:$E$20-E$3*Model!$F$5/1000-Inputs!$B$29*Model!$F$5/Model!$F$3)*(1-Inputs!$B$5)+Inputs!$B$5*Inputs!$B$30)*'Tail 2032-2049'!$H$3:$H$20)+(Model!$F$4*($A4-E$3)/1000-Inputs!$B$29*(1-Model!$F$5/Model!$F$3))*(1-Inputs!$B$5)*SUM('Tail 2032-2049'!$I$3:$I$20)+((Model!$F$4*($A4-E$3)/1000-Inputs!$B$29*(1-Model!$F$5/Model!$F$3))+Model!$F$5*($A4-E$3)/1000)*(1-Inputs!$B$5)/Inputs!$B$7/(1+Inputs!$B$7)^(Inputs!$B$31-2026)-Inputs!$B$10-Inputs!$B$11-Inputs!$B$13*(1-Inputs!$B$5)/Inputs!$B$6-Inputs!$B$14)/Inputs!$B$4</f>
        <v>9.88608584371328</v>
      </c>
    </row>
    <row r="5" customFormat="false" ht="15" hidden="false" customHeight="false" outlineLevel="0" collapsed="false">
      <c r="A5" s="2" t="n">
        <v>3</v>
      </c>
      <c r="B5" s="13" t="n">
        <f aca="false">(SUMPRODUCT(((Model!$B$8:$F$8+Model!$B$9:$F$9-B$3*Model!$B$5:$F$5/1000)*(1-Inputs!$B$5)+Inputs!$B$5*Model!$B$18:$F$18)*Model!$B$33:$F$33)+SUMPRODUCT((Model!$B$4:$F$4*Inputs!$B$47:$F$47/1000-B$3*Model!$B$4:$F$4/1000)*(1-Inputs!$B$5)*Model!$B$34:$F$34)-SUMPRODUCT(Model!$B$28:$F$28*Model!$B$33:$F$33)+SUMPRODUCT((('Tail 2032-2049'!$E$3:$E$20-B$3*Model!$F$5/1000-Inputs!$B$29*Model!$F$5/Model!$F$3)*(1-Inputs!$B$5)+Inputs!$B$5*Inputs!$B$30)*'Tail 2032-2049'!$H$3:$H$20)+(Model!$F$4*($A5-B$3)/1000-Inputs!$B$29*(1-Model!$F$5/Model!$F$3))*(1-Inputs!$B$5)*SUM('Tail 2032-2049'!$I$3:$I$20)+((Model!$F$4*($A5-B$3)/1000-Inputs!$B$29*(1-Model!$F$5/Model!$F$3))+Model!$F$5*($A5-B$3)/1000)*(1-Inputs!$B$5)/Inputs!$B$7/(1+Inputs!$B$7)^(Inputs!$B$31-2026)-Inputs!$B$10-Inputs!$B$11-Inputs!$B$13*(1-Inputs!$B$5)/Inputs!$B$6-Inputs!$B$14)/Inputs!$B$4</f>
        <v>3.91814186276597</v>
      </c>
      <c r="C5" s="13" t="n">
        <f aca="false">(SUMPRODUCT(((Model!$B$8:$F$8+Model!$B$9:$F$9-C$3*Model!$B$5:$F$5/1000)*(1-Inputs!$B$5)+Inputs!$B$5*Model!$B$18:$F$18)*Model!$B$33:$F$33)+SUMPRODUCT((Model!$B$4:$F$4*Inputs!$B$47:$F$47/1000-C$3*Model!$B$4:$F$4/1000)*(1-Inputs!$B$5)*Model!$B$34:$F$34)-SUMPRODUCT(Model!$B$28:$F$28*Model!$B$33:$F$33)+SUMPRODUCT((('Tail 2032-2049'!$E$3:$E$20-C$3*Model!$F$5/1000-Inputs!$B$29*Model!$F$5/Model!$F$3)*(1-Inputs!$B$5)+Inputs!$B$5*Inputs!$B$30)*'Tail 2032-2049'!$H$3:$H$20)+(Model!$F$4*($A5-C$3)/1000-Inputs!$B$29*(1-Model!$F$5/Model!$F$3))*(1-Inputs!$B$5)*SUM('Tail 2032-2049'!$I$3:$I$20)+((Model!$F$4*($A5-C$3)/1000-Inputs!$B$29*(1-Model!$F$5/Model!$F$3))+Model!$F$5*($A5-C$3)/1000)*(1-Inputs!$B$5)/Inputs!$B$7/(1+Inputs!$B$7)^(Inputs!$B$31-2026)-Inputs!$B$10-Inputs!$B$11-Inputs!$B$13*(1-Inputs!$B$5)/Inputs!$B$6-Inputs!$B$14)/Inputs!$B$4</f>
        <v>7.27314009634662</v>
      </c>
      <c r="D5" s="13" t="n">
        <f aca="false">(SUMPRODUCT(((Model!$B$8:$F$8+Model!$B$9:$F$9-D$3*Model!$B$5:$F$5/1000)*(1-Inputs!$B$5)+Inputs!$B$5*Model!$B$18:$F$18)*Model!$B$33:$F$33)+SUMPRODUCT((Model!$B$4:$F$4*Inputs!$B$47:$F$47/1000-D$3*Model!$B$4:$F$4/1000)*(1-Inputs!$B$5)*Model!$B$34:$F$34)-SUMPRODUCT(Model!$B$28:$F$28*Model!$B$33:$F$33)+SUMPRODUCT((('Tail 2032-2049'!$E$3:$E$20-D$3*Model!$F$5/1000-Inputs!$B$29*Model!$F$5/Model!$F$3)*(1-Inputs!$B$5)+Inputs!$B$5*Inputs!$B$30)*'Tail 2032-2049'!$H$3:$H$20)+(Model!$F$4*($A5-D$3)/1000-Inputs!$B$29*(1-Model!$F$5/Model!$F$3))*(1-Inputs!$B$5)*SUM('Tail 2032-2049'!$I$3:$I$20)+((Model!$F$4*($A5-D$3)/1000-Inputs!$B$29*(1-Model!$F$5/Model!$F$3))+Model!$F$5*($A5-D$3)/1000)*(1-Inputs!$B$5)/Inputs!$B$7/(1+Inputs!$B$7)^(Inputs!$B$31-2026)-Inputs!$B$10-Inputs!$B$11-Inputs!$B$13*(1-Inputs!$B$5)/Inputs!$B$6-Inputs!$B$14)/Inputs!$B$4</f>
        <v>9.75292139942798</v>
      </c>
      <c r="E5" s="13" t="n">
        <f aca="false">(SUMPRODUCT(((Model!$B$8:$F$8+Model!$B$9:$F$9-E$3*Model!$B$5:$F$5/1000)*(1-Inputs!$B$5)+Inputs!$B$5*Model!$B$18:$F$18)*Model!$B$33:$F$33)+SUMPRODUCT((Model!$B$4:$F$4*Inputs!$B$47:$F$47/1000-E$3*Model!$B$4:$F$4/1000)*(1-Inputs!$B$5)*Model!$B$34:$F$34)-SUMPRODUCT(Model!$B$28:$F$28*Model!$B$33:$F$33)+SUMPRODUCT((('Tail 2032-2049'!$E$3:$E$20-E$3*Model!$F$5/1000-Inputs!$B$29*Model!$F$5/Model!$F$3)*(1-Inputs!$B$5)+Inputs!$B$5*Inputs!$B$30)*'Tail 2032-2049'!$H$3:$H$20)+(Model!$F$4*($A5-E$3)/1000-Inputs!$B$29*(1-Model!$F$5/Model!$F$3))*(1-Inputs!$B$5)*SUM('Tail 2032-2049'!$I$3:$I$20)+((Model!$F$4*($A5-E$3)/1000-Inputs!$B$29*(1-Model!$F$5/Model!$F$3))+Model!$F$5*($A5-E$3)/1000)*(1-Inputs!$B$5)/Inputs!$B$7/(1+Inputs!$B$7)^(Inputs!$B$31-2026)-Inputs!$B$10-Inputs!$B$11-Inputs!$B$13*(1-Inputs!$B$5)/Inputs!$B$6-Inputs!$B$14)/Inputs!$B$4</f>
        <v>11.9409637256762</v>
      </c>
    </row>
    <row r="6" customFormat="false" ht="15" hidden="false" customHeight="false" outlineLevel="0" collapsed="false">
      <c r="A6" s="2" t="n">
        <v>3.5</v>
      </c>
      <c r="B6" s="13" t="n">
        <f aca="false">(SUMPRODUCT(((Model!$B$8:$F$8+Model!$B$9:$F$9-B$3*Model!$B$5:$F$5/1000)*(1-Inputs!$B$5)+Inputs!$B$5*Model!$B$18:$F$18)*Model!$B$33:$F$33)+SUMPRODUCT((Model!$B$4:$F$4*Inputs!$B$47:$F$47/1000-B$3*Model!$B$4:$F$4/1000)*(1-Inputs!$B$5)*Model!$B$34:$F$34)-SUMPRODUCT(Model!$B$28:$F$28*Model!$B$33:$F$33)+SUMPRODUCT((('Tail 2032-2049'!$E$3:$E$20-B$3*Model!$F$5/1000-Inputs!$B$29*Model!$F$5/Model!$F$3)*(1-Inputs!$B$5)+Inputs!$B$5*Inputs!$B$30)*'Tail 2032-2049'!$H$3:$H$20)+(Model!$F$4*($A6-B$3)/1000-Inputs!$B$29*(1-Model!$F$5/Model!$F$3))*(1-Inputs!$B$5)*SUM('Tail 2032-2049'!$I$3:$I$20)+((Model!$F$4*($A6-B$3)/1000-Inputs!$B$29*(1-Model!$F$5/Model!$F$3))+Model!$F$5*($A6-B$3)/1000)*(1-Inputs!$B$5)/Inputs!$B$7/(1+Inputs!$B$7)^(Inputs!$B$31-2026)-Inputs!$B$10-Inputs!$B$11-Inputs!$B$13*(1-Inputs!$B$5)/Inputs!$B$6-Inputs!$B$14)/Inputs!$B$4</f>
        <v>5.97301974472892</v>
      </c>
      <c r="C6" s="13" t="n">
        <f aca="false">(SUMPRODUCT(((Model!$B$8:$F$8+Model!$B$9:$F$9-C$3*Model!$B$5:$F$5/1000)*(1-Inputs!$B$5)+Inputs!$B$5*Model!$B$18:$F$18)*Model!$B$33:$F$33)+SUMPRODUCT((Model!$B$4:$F$4*Inputs!$B$47:$F$47/1000-C$3*Model!$B$4:$F$4/1000)*(1-Inputs!$B$5)*Model!$B$34:$F$34)-SUMPRODUCT(Model!$B$28:$F$28*Model!$B$33:$F$33)+SUMPRODUCT((('Tail 2032-2049'!$E$3:$E$20-C$3*Model!$F$5/1000-Inputs!$B$29*Model!$F$5/Model!$F$3)*(1-Inputs!$B$5)+Inputs!$B$5*Inputs!$B$30)*'Tail 2032-2049'!$H$3:$H$20)+(Model!$F$4*($A6-C$3)/1000-Inputs!$B$29*(1-Model!$F$5/Model!$F$3))*(1-Inputs!$B$5)*SUM('Tail 2032-2049'!$I$3:$I$20)+((Model!$F$4*($A6-C$3)/1000-Inputs!$B$29*(1-Model!$F$5/Model!$F$3))+Model!$F$5*($A6-C$3)/1000)*(1-Inputs!$B$5)/Inputs!$B$7/(1+Inputs!$B$7)^(Inputs!$B$31-2026)-Inputs!$B$10-Inputs!$B$11-Inputs!$B$13*(1-Inputs!$B$5)/Inputs!$B$6-Inputs!$B$14)/Inputs!$B$4</f>
        <v>9.32801797830957</v>
      </c>
      <c r="D6" s="13" t="n">
        <f aca="false">(SUMPRODUCT(((Model!$B$8:$F$8+Model!$B$9:$F$9-D$3*Model!$B$5:$F$5/1000)*(1-Inputs!$B$5)+Inputs!$B$5*Model!$B$18:$F$18)*Model!$B$33:$F$33)+SUMPRODUCT((Model!$B$4:$F$4*Inputs!$B$47:$F$47/1000-D$3*Model!$B$4:$F$4/1000)*(1-Inputs!$B$5)*Model!$B$34:$F$34)-SUMPRODUCT(Model!$B$28:$F$28*Model!$B$33:$F$33)+SUMPRODUCT((('Tail 2032-2049'!$E$3:$E$20-D$3*Model!$F$5/1000-Inputs!$B$29*Model!$F$5/Model!$F$3)*(1-Inputs!$B$5)+Inputs!$B$5*Inputs!$B$30)*'Tail 2032-2049'!$H$3:$H$20)+(Model!$F$4*($A6-D$3)/1000-Inputs!$B$29*(1-Model!$F$5/Model!$F$3))*(1-Inputs!$B$5)*SUM('Tail 2032-2049'!$I$3:$I$20)+((Model!$F$4*($A6-D$3)/1000-Inputs!$B$29*(1-Model!$F$5/Model!$F$3))+Model!$F$5*($A6-D$3)/1000)*(1-Inputs!$B$5)/Inputs!$B$7/(1+Inputs!$B$7)^(Inputs!$B$31-2026)-Inputs!$B$10-Inputs!$B$11-Inputs!$B$13*(1-Inputs!$B$5)/Inputs!$B$6-Inputs!$B$14)/Inputs!$B$4</f>
        <v>11.8077992813909</v>
      </c>
      <c r="E6" s="13" t="n">
        <f aca="false">(SUMPRODUCT(((Model!$B$8:$F$8+Model!$B$9:$F$9-E$3*Model!$B$5:$F$5/1000)*(1-Inputs!$B$5)+Inputs!$B$5*Model!$B$18:$F$18)*Model!$B$33:$F$33)+SUMPRODUCT((Model!$B$4:$F$4*Inputs!$B$47:$F$47/1000-E$3*Model!$B$4:$F$4/1000)*(1-Inputs!$B$5)*Model!$B$34:$F$34)-SUMPRODUCT(Model!$B$28:$F$28*Model!$B$33:$F$33)+SUMPRODUCT((('Tail 2032-2049'!$E$3:$E$20-E$3*Model!$F$5/1000-Inputs!$B$29*Model!$F$5/Model!$F$3)*(1-Inputs!$B$5)+Inputs!$B$5*Inputs!$B$30)*'Tail 2032-2049'!$H$3:$H$20)+(Model!$F$4*($A6-E$3)/1000-Inputs!$B$29*(1-Model!$F$5/Model!$F$3))*(1-Inputs!$B$5)*SUM('Tail 2032-2049'!$I$3:$I$20)+((Model!$F$4*($A6-E$3)/1000-Inputs!$B$29*(1-Model!$F$5/Model!$F$3))+Model!$F$5*($A6-E$3)/1000)*(1-Inputs!$B$5)/Inputs!$B$7/(1+Inputs!$B$7)^(Inputs!$B$31-2026)-Inputs!$B$10-Inputs!$B$11-Inputs!$B$13*(1-Inputs!$B$5)/Inputs!$B$6-Inputs!$B$14)/Inputs!$B$4</f>
        <v>13.9958416076392</v>
      </c>
    </row>
    <row r="7" customFormat="false" ht="15" hidden="false" customHeight="false" outlineLevel="0" collapsed="false">
      <c r="A7" s="2" t="n">
        <v>4</v>
      </c>
      <c r="B7" s="13" t="n">
        <f aca="false">(SUMPRODUCT(((Model!$B$8:$F$8+Model!$B$9:$F$9-B$3*Model!$B$5:$F$5/1000)*(1-Inputs!$B$5)+Inputs!$B$5*Model!$B$18:$F$18)*Model!$B$33:$F$33)+SUMPRODUCT((Model!$B$4:$F$4*Inputs!$B$47:$F$47/1000-B$3*Model!$B$4:$F$4/1000)*(1-Inputs!$B$5)*Model!$B$34:$F$34)-SUMPRODUCT(Model!$B$28:$F$28*Model!$B$33:$F$33)+SUMPRODUCT((('Tail 2032-2049'!$E$3:$E$20-B$3*Model!$F$5/1000-Inputs!$B$29*Model!$F$5/Model!$F$3)*(1-Inputs!$B$5)+Inputs!$B$5*Inputs!$B$30)*'Tail 2032-2049'!$H$3:$H$20)+(Model!$F$4*($A7-B$3)/1000-Inputs!$B$29*(1-Model!$F$5/Model!$F$3))*(1-Inputs!$B$5)*SUM('Tail 2032-2049'!$I$3:$I$20)+((Model!$F$4*($A7-B$3)/1000-Inputs!$B$29*(1-Model!$F$5/Model!$F$3))+Model!$F$5*($A7-B$3)/1000)*(1-Inputs!$B$5)/Inputs!$B$7/(1+Inputs!$B$7)^(Inputs!$B$31-2026)-Inputs!$B$10-Inputs!$B$11-Inputs!$B$13*(1-Inputs!$B$5)/Inputs!$B$6-Inputs!$B$14)/Inputs!$B$4</f>
        <v>8.02789762669188</v>
      </c>
      <c r="C7" s="13" t="n">
        <f aca="false">(SUMPRODUCT(((Model!$B$8:$F$8+Model!$B$9:$F$9-C$3*Model!$B$5:$F$5/1000)*(1-Inputs!$B$5)+Inputs!$B$5*Model!$B$18:$F$18)*Model!$B$33:$F$33)+SUMPRODUCT((Model!$B$4:$F$4*Inputs!$B$47:$F$47/1000-C$3*Model!$B$4:$F$4/1000)*(1-Inputs!$B$5)*Model!$B$34:$F$34)-SUMPRODUCT(Model!$B$28:$F$28*Model!$B$33:$F$33)+SUMPRODUCT((('Tail 2032-2049'!$E$3:$E$20-C$3*Model!$F$5/1000-Inputs!$B$29*Model!$F$5/Model!$F$3)*(1-Inputs!$B$5)+Inputs!$B$5*Inputs!$B$30)*'Tail 2032-2049'!$H$3:$H$20)+(Model!$F$4*($A7-C$3)/1000-Inputs!$B$29*(1-Model!$F$5/Model!$F$3))*(1-Inputs!$B$5)*SUM('Tail 2032-2049'!$I$3:$I$20)+((Model!$F$4*($A7-C$3)/1000-Inputs!$B$29*(1-Model!$F$5/Model!$F$3))+Model!$F$5*($A7-C$3)/1000)*(1-Inputs!$B$5)/Inputs!$B$7/(1+Inputs!$B$7)^(Inputs!$B$31-2026)-Inputs!$B$10-Inputs!$B$11-Inputs!$B$13*(1-Inputs!$B$5)/Inputs!$B$6-Inputs!$B$14)/Inputs!$B$4</f>
        <v>11.3828958602725</v>
      </c>
      <c r="D7" s="13" t="n">
        <f aca="false">(SUMPRODUCT(((Model!$B$8:$F$8+Model!$B$9:$F$9-D$3*Model!$B$5:$F$5/1000)*(1-Inputs!$B$5)+Inputs!$B$5*Model!$B$18:$F$18)*Model!$B$33:$F$33)+SUMPRODUCT((Model!$B$4:$F$4*Inputs!$B$47:$F$47/1000-D$3*Model!$B$4:$F$4/1000)*(1-Inputs!$B$5)*Model!$B$34:$F$34)-SUMPRODUCT(Model!$B$28:$F$28*Model!$B$33:$F$33)+SUMPRODUCT((('Tail 2032-2049'!$E$3:$E$20-D$3*Model!$F$5/1000-Inputs!$B$29*Model!$F$5/Model!$F$3)*(1-Inputs!$B$5)+Inputs!$B$5*Inputs!$B$30)*'Tail 2032-2049'!$H$3:$H$20)+(Model!$F$4*($A7-D$3)/1000-Inputs!$B$29*(1-Model!$F$5/Model!$F$3))*(1-Inputs!$B$5)*SUM('Tail 2032-2049'!$I$3:$I$20)+((Model!$F$4*($A7-D$3)/1000-Inputs!$B$29*(1-Model!$F$5/Model!$F$3))+Model!$F$5*($A7-D$3)/1000)*(1-Inputs!$B$5)/Inputs!$B$7/(1+Inputs!$B$7)^(Inputs!$B$31-2026)-Inputs!$B$10-Inputs!$B$11-Inputs!$B$13*(1-Inputs!$B$5)/Inputs!$B$6-Inputs!$B$14)/Inputs!$B$4</f>
        <v>13.8626771633539</v>
      </c>
      <c r="E7" s="13" t="n">
        <f aca="false">(SUMPRODUCT(((Model!$B$8:$F$8+Model!$B$9:$F$9-E$3*Model!$B$5:$F$5/1000)*(1-Inputs!$B$5)+Inputs!$B$5*Model!$B$18:$F$18)*Model!$B$33:$F$33)+SUMPRODUCT((Model!$B$4:$F$4*Inputs!$B$47:$F$47/1000-E$3*Model!$B$4:$F$4/1000)*(1-Inputs!$B$5)*Model!$B$34:$F$34)-SUMPRODUCT(Model!$B$28:$F$28*Model!$B$33:$F$33)+SUMPRODUCT((('Tail 2032-2049'!$E$3:$E$20-E$3*Model!$F$5/1000-Inputs!$B$29*Model!$F$5/Model!$F$3)*(1-Inputs!$B$5)+Inputs!$B$5*Inputs!$B$30)*'Tail 2032-2049'!$H$3:$H$20)+(Model!$F$4*($A7-E$3)/1000-Inputs!$B$29*(1-Model!$F$5/Model!$F$3))*(1-Inputs!$B$5)*SUM('Tail 2032-2049'!$I$3:$I$20)+((Model!$F$4*($A7-E$3)/1000-Inputs!$B$29*(1-Model!$F$5/Model!$F$3))+Model!$F$5*($A7-E$3)/1000)*(1-Inputs!$B$5)/Inputs!$B$7/(1+Inputs!$B$7)^(Inputs!$B$31-2026)-Inputs!$B$10-Inputs!$B$11-Inputs!$B$13*(1-Inputs!$B$5)/Inputs!$B$6-Inputs!$B$14)/Inputs!$B$4</f>
        <v>16.0507194896021</v>
      </c>
    </row>
    <row r="8" customFormat="false" ht="15" hidden="false" customHeight="false" outlineLevel="0" collapsed="false">
      <c r="A8" s="2" t="n">
        <v>4.5</v>
      </c>
      <c r="B8" s="13" t="n">
        <f aca="false">(SUMPRODUCT(((Model!$B$8:$F$8+Model!$B$9:$F$9-B$3*Model!$B$5:$F$5/1000)*(1-Inputs!$B$5)+Inputs!$B$5*Model!$B$18:$F$18)*Model!$B$33:$F$33)+SUMPRODUCT((Model!$B$4:$F$4*Inputs!$B$47:$F$47/1000-B$3*Model!$B$4:$F$4/1000)*(1-Inputs!$B$5)*Model!$B$34:$F$34)-SUMPRODUCT(Model!$B$28:$F$28*Model!$B$33:$F$33)+SUMPRODUCT((('Tail 2032-2049'!$E$3:$E$20-B$3*Model!$F$5/1000-Inputs!$B$29*Model!$F$5/Model!$F$3)*(1-Inputs!$B$5)+Inputs!$B$5*Inputs!$B$30)*'Tail 2032-2049'!$H$3:$H$20)+(Model!$F$4*($A8-B$3)/1000-Inputs!$B$29*(1-Model!$F$5/Model!$F$3))*(1-Inputs!$B$5)*SUM('Tail 2032-2049'!$I$3:$I$20)+((Model!$F$4*($A8-B$3)/1000-Inputs!$B$29*(1-Model!$F$5/Model!$F$3))+Model!$F$5*($A8-B$3)/1000)*(1-Inputs!$B$5)/Inputs!$B$7/(1+Inputs!$B$7)^(Inputs!$B$31-2026)-Inputs!$B$10-Inputs!$B$11-Inputs!$B$13*(1-Inputs!$B$5)/Inputs!$B$6-Inputs!$B$14)/Inputs!$B$4</f>
        <v>10.0827755086548</v>
      </c>
      <c r="C8" s="13" t="n">
        <f aca="false">(SUMPRODUCT(((Model!$B$8:$F$8+Model!$B$9:$F$9-C$3*Model!$B$5:$F$5/1000)*(1-Inputs!$B$5)+Inputs!$B$5*Model!$B$18:$F$18)*Model!$B$33:$F$33)+SUMPRODUCT((Model!$B$4:$F$4*Inputs!$B$47:$F$47/1000-C$3*Model!$B$4:$F$4/1000)*(1-Inputs!$B$5)*Model!$B$34:$F$34)-SUMPRODUCT(Model!$B$28:$F$28*Model!$B$33:$F$33)+SUMPRODUCT((('Tail 2032-2049'!$E$3:$E$20-C$3*Model!$F$5/1000-Inputs!$B$29*Model!$F$5/Model!$F$3)*(1-Inputs!$B$5)+Inputs!$B$5*Inputs!$B$30)*'Tail 2032-2049'!$H$3:$H$20)+(Model!$F$4*($A8-C$3)/1000-Inputs!$B$29*(1-Model!$F$5/Model!$F$3))*(1-Inputs!$B$5)*SUM('Tail 2032-2049'!$I$3:$I$20)+((Model!$F$4*($A8-C$3)/1000-Inputs!$B$29*(1-Model!$F$5/Model!$F$3))+Model!$F$5*($A8-C$3)/1000)*(1-Inputs!$B$5)/Inputs!$B$7/(1+Inputs!$B$7)^(Inputs!$B$31-2026)-Inputs!$B$10-Inputs!$B$11-Inputs!$B$13*(1-Inputs!$B$5)/Inputs!$B$6-Inputs!$B$14)/Inputs!$B$4</f>
        <v>13.4377737422355</v>
      </c>
      <c r="D8" s="13" t="n">
        <f aca="false">(SUMPRODUCT(((Model!$B$8:$F$8+Model!$B$9:$F$9-D$3*Model!$B$5:$F$5/1000)*(1-Inputs!$B$5)+Inputs!$B$5*Model!$B$18:$F$18)*Model!$B$33:$F$33)+SUMPRODUCT((Model!$B$4:$F$4*Inputs!$B$47:$F$47/1000-D$3*Model!$B$4:$F$4/1000)*(1-Inputs!$B$5)*Model!$B$34:$F$34)-SUMPRODUCT(Model!$B$28:$F$28*Model!$B$33:$F$33)+SUMPRODUCT((('Tail 2032-2049'!$E$3:$E$20-D$3*Model!$F$5/1000-Inputs!$B$29*Model!$F$5/Model!$F$3)*(1-Inputs!$B$5)+Inputs!$B$5*Inputs!$B$30)*'Tail 2032-2049'!$H$3:$H$20)+(Model!$F$4*($A8-D$3)/1000-Inputs!$B$29*(1-Model!$F$5/Model!$F$3))*(1-Inputs!$B$5)*SUM('Tail 2032-2049'!$I$3:$I$20)+((Model!$F$4*($A8-D$3)/1000-Inputs!$B$29*(1-Model!$F$5/Model!$F$3))+Model!$F$5*($A8-D$3)/1000)*(1-Inputs!$B$5)/Inputs!$B$7/(1+Inputs!$B$7)^(Inputs!$B$31-2026)-Inputs!$B$10-Inputs!$B$11-Inputs!$B$13*(1-Inputs!$B$5)/Inputs!$B$6-Inputs!$B$14)/Inputs!$B$4</f>
        <v>15.9175550453168</v>
      </c>
      <c r="E8" s="13" t="n">
        <f aca="false">(SUMPRODUCT(((Model!$B$8:$F$8+Model!$B$9:$F$9-E$3*Model!$B$5:$F$5/1000)*(1-Inputs!$B$5)+Inputs!$B$5*Model!$B$18:$F$18)*Model!$B$33:$F$33)+SUMPRODUCT((Model!$B$4:$F$4*Inputs!$B$47:$F$47/1000-E$3*Model!$B$4:$F$4/1000)*(1-Inputs!$B$5)*Model!$B$34:$F$34)-SUMPRODUCT(Model!$B$28:$F$28*Model!$B$33:$F$33)+SUMPRODUCT((('Tail 2032-2049'!$E$3:$E$20-E$3*Model!$F$5/1000-Inputs!$B$29*Model!$F$5/Model!$F$3)*(1-Inputs!$B$5)+Inputs!$B$5*Inputs!$B$30)*'Tail 2032-2049'!$H$3:$H$20)+(Model!$F$4*($A8-E$3)/1000-Inputs!$B$29*(1-Model!$F$5/Model!$F$3))*(1-Inputs!$B$5)*SUM('Tail 2032-2049'!$I$3:$I$20)+((Model!$F$4*($A8-E$3)/1000-Inputs!$B$29*(1-Model!$F$5/Model!$F$3))+Model!$F$5*($A8-E$3)/1000)*(1-Inputs!$B$5)/Inputs!$B$7/(1+Inputs!$B$7)^(Inputs!$B$31-2026)-Inputs!$B$10-Inputs!$B$11-Inputs!$B$13*(1-Inputs!$B$5)/Inputs!$B$6-Inputs!$B$14)/Inputs!$B$4</f>
        <v>18.1055973715651</v>
      </c>
    </row>
    <row r="9" customFormat="false" ht="15" hidden="false" customHeight="false" outlineLevel="0" collapsed="false">
      <c r="A9" s="2" t="n">
        <v>5.19</v>
      </c>
      <c r="B9" s="13" t="n">
        <f aca="false">(SUMPRODUCT(((Model!$B$8:$F$8+Model!$B$9:$F$9-B$3*Model!$B$5:$F$5/1000)*(1-Inputs!$B$5)+Inputs!$B$5*Model!$B$18:$F$18)*Model!$B$33:$F$33)+SUMPRODUCT((Model!$B$4:$F$4*Inputs!$B$47:$F$47/1000-B$3*Model!$B$4:$F$4/1000)*(1-Inputs!$B$5)*Model!$B$34:$F$34)-SUMPRODUCT(Model!$B$28:$F$28*Model!$B$33:$F$33)+SUMPRODUCT((('Tail 2032-2049'!$E$3:$E$20-B$3*Model!$F$5/1000-Inputs!$B$29*Model!$F$5/Model!$F$3)*(1-Inputs!$B$5)+Inputs!$B$5*Inputs!$B$30)*'Tail 2032-2049'!$H$3:$H$20)+(Model!$F$4*($A9-B$3)/1000-Inputs!$B$29*(1-Model!$F$5/Model!$F$3))*(1-Inputs!$B$5)*SUM('Tail 2032-2049'!$I$3:$I$20)+((Model!$F$4*($A9-B$3)/1000-Inputs!$B$29*(1-Model!$F$5/Model!$F$3))+Model!$F$5*($A9-B$3)/1000)*(1-Inputs!$B$5)/Inputs!$B$7/(1+Inputs!$B$7)^(Inputs!$B$31-2026)-Inputs!$B$10-Inputs!$B$11-Inputs!$B$13*(1-Inputs!$B$5)/Inputs!$B$6-Inputs!$B$14)/Inputs!$B$4</f>
        <v>12.9185069857637</v>
      </c>
      <c r="C9" s="13" t="n">
        <f aca="false">(SUMPRODUCT(((Model!$B$8:$F$8+Model!$B$9:$F$9-C$3*Model!$B$5:$F$5/1000)*(1-Inputs!$B$5)+Inputs!$B$5*Model!$B$18:$F$18)*Model!$B$33:$F$33)+SUMPRODUCT((Model!$B$4:$F$4*Inputs!$B$47:$F$47/1000-C$3*Model!$B$4:$F$4/1000)*(1-Inputs!$B$5)*Model!$B$34:$F$34)-SUMPRODUCT(Model!$B$28:$F$28*Model!$B$33:$F$33)+SUMPRODUCT((('Tail 2032-2049'!$E$3:$E$20-C$3*Model!$F$5/1000-Inputs!$B$29*Model!$F$5/Model!$F$3)*(1-Inputs!$B$5)+Inputs!$B$5*Inputs!$B$30)*'Tail 2032-2049'!$H$3:$H$20)+(Model!$F$4*($A9-C$3)/1000-Inputs!$B$29*(1-Model!$F$5/Model!$F$3))*(1-Inputs!$B$5)*SUM('Tail 2032-2049'!$I$3:$I$20)+((Model!$F$4*($A9-C$3)/1000-Inputs!$B$29*(1-Model!$F$5/Model!$F$3))+Model!$F$5*($A9-C$3)/1000)*(1-Inputs!$B$5)/Inputs!$B$7/(1+Inputs!$B$7)^(Inputs!$B$31-2026)-Inputs!$B$10-Inputs!$B$11-Inputs!$B$13*(1-Inputs!$B$5)/Inputs!$B$6-Inputs!$B$14)/Inputs!$B$4</f>
        <v>16.2735052193444</v>
      </c>
      <c r="D9" s="13" t="n">
        <f aca="false">(SUMPRODUCT(((Model!$B$8:$F$8+Model!$B$9:$F$9-D$3*Model!$B$5:$F$5/1000)*(1-Inputs!$B$5)+Inputs!$B$5*Model!$B$18:$F$18)*Model!$B$33:$F$33)+SUMPRODUCT((Model!$B$4:$F$4*Inputs!$B$47:$F$47/1000-D$3*Model!$B$4:$F$4/1000)*(1-Inputs!$B$5)*Model!$B$34:$F$34)-SUMPRODUCT(Model!$B$28:$F$28*Model!$B$33:$F$33)+SUMPRODUCT((('Tail 2032-2049'!$E$3:$E$20-D$3*Model!$F$5/1000-Inputs!$B$29*Model!$F$5/Model!$F$3)*(1-Inputs!$B$5)+Inputs!$B$5*Inputs!$B$30)*'Tail 2032-2049'!$H$3:$H$20)+(Model!$F$4*($A9-D$3)/1000-Inputs!$B$29*(1-Model!$F$5/Model!$F$3))*(1-Inputs!$B$5)*SUM('Tail 2032-2049'!$I$3:$I$20)+((Model!$F$4*($A9-D$3)/1000-Inputs!$B$29*(1-Model!$F$5/Model!$F$3))+Model!$F$5*($A9-D$3)/1000)*(1-Inputs!$B$5)/Inputs!$B$7/(1+Inputs!$B$7)^(Inputs!$B$31-2026)-Inputs!$B$10-Inputs!$B$11-Inputs!$B$13*(1-Inputs!$B$5)/Inputs!$B$6-Inputs!$B$14)/Inputs!$B$4</f>
        <v>18.7532865224257</v>
      </c>
      <c r="E9" s="13" t="n">
        <f aca="false">(SUMPRODUCT(((Model!$B$8:$F$8+Model!$B$9:$F$9-E$3*Model!$B$5:$F$5/1000)*(1-Inputs!$B$5)+Inputs!$B$5*Model!$B$18:$F$18)*Model!$B$33:$F$33)+SUMPRODUCT((Model!$B$4:$F$4*Inputs!$B$47:$F$47/1000-E$3*Model!$B$4:$F$4/1000)*(1-Inputs!$B$5)*Model!$B$34:$F$34)-SUMPRODUCT(Model!$B$28:$F$28*Model!$B$33:$F$33)+SUMPRODUCT((('Tail 2032-2049'!$E$3:$E$20-E$3*Model!$F$5/1000-Inputs!$B$29*Model!$F$5/Model!$F$3)*(1-Inputs!$B$5)+Inputs!$B$5*Inputs!$B$30)*'Tail 2032-2049'!$H$3:$H$20)+(Model!$F$4*($A9-E$3)/1000-Inputs!$B$29*(1-Model!$F$5/Model!$F$3))*(1-Inputs!$B$5)*SUM('Tail 2032-2049'!$I$3:$I$20)+((Model!$F$4*($A9-E$3)/1000-Inputs!$B$29*(1-Model!$F$5/Model!$F$3))+Model!$F$5*($A9-E$3)/1000)*(1-Inputs!$B$5)/Inputs!$B$7/(1+Inputs!$B$7)^(Inputs!$B$31-2026)-Inputs!$B$10-Inputs!$B$11-Inputs!$B$13*(1-Inputs!$B$5)/Inputs!$B$6-Inputs!$B$14)/Inputs!$B$4</f>
        <v>20.941328848674</v>
      </c>
    </row>
    <row r="10" customFormat="false" ht="15" hidden="false" customHeight="false" outlineLevel="0" collapsed="false">
      <c r="A10" s="2" t="n">
        <v>6</v>
      </c>
      <c r="B10" s="13" t="n">
        <f aca="false">(SUMPRODUCT(((Model!$B$8:$F$8+Model!$B$9:$F$9-B$3*Model!$B$5:$F$5/1000)*(1-Inputs!$B$5)+Inputs!$B$5*Model!$B$18:$F$18)*Model!$B$33:$F$33)+SUMPRODUCT((Model!$B$4:$F$4*Inputs!$B$47:$F$47/1000-B$3*Model!$B$4:$F$4/1000)*(1-Inputs!$B$5)*Model!$B$34:$F$34)-SUMPRODUCT(Model!$B$28:$F$28*Model!$B$33:$F$33)+SUMPRODUCT((('Tail 2032-2049'!$E$3:$E$20-B$3*Model!$F$5/1000-Inputs!$B$29*Model!$F$5/Model!$F$3)*(1-Inputs!$B$5)+Inputs!$B$5*Inputs!$B$30)*'Tail 2032-2049'!$H$3:$H$20)+(Model!$F$4*($A10-B$3)/1000-Inputs!$B$29*(1-Model!$F$5/Model!$F$3))*(1-Inputs!$B$5)*SUM('Tail 2032-2049'!$I$3:$I$20)+((Model!$F$4*($A10-B$3)/1000-Inputs!$B$29*(1-Model!$F$5/Model!$F$3))+Model!$F$5*($A10-B$3)/1000)*(1-Inputs!$B$5)/Inputs!$B$7/(1+Inputs!$B$7)^(Inputs!$B$31-2026)-Inputs!$B$10-Inputs!$B$11-Inputs!$B$13*(1-Inputs!$B$5)/Inputs!$B$6-Inputs!$B$14)/Inputs!$B$4</f>
        <v>16.2474091545437</v>
      </c>
      <c r="C10" s="13" t="n">
        <f aca="false">(SUMPRODUCT(((Model!$B$8:$F$8+Model!$B$9:$F$9-C$3*Model!$B$5:$F$5/1000)*(1-Inputs!$B$5)+Inputs!$B$5*Model!$B$18:$F$18)*Model!$B$33:$F$33)+SUMPRODUCT((Model!$B$4:$F$4*Inputs!$B$47:$F$47/1000-C$3*Model!$B$4:$F$4/1000)*(1-Inputs!$B$5)*Model!$B$34:$F$34)-SUMPRODUCT(Model!$B$28:$F$28*Model!$B$33:$F$33)+SUMPRODUCT((('Tail 2032-2049'!$E$3:$E$20-C$3*Model!$F$5/1000-Inputs!$B$29*Model!$F$5/Model!$F$3)*(1-Inputs!$B$5)+Inputs!$B$5*Inputs!$B$30)*'Tail 2032-2049'!$H$3:$H$20)+(Model!$F$4*($A10-C$3)/1000-Inputs!$B$29*(1-Model!$F$5/Model!$F$3))*(1-Inputs!$B$5)*SUM('Tail 2032-2049'!$I$3:$I$20)+((Model!$F$4*($A10-C$3)/1000-Inputs!$B$29*(1-Model!$F$5/Model!$F$3))+Model!$F$5*($A10-C$3)/1000)*(1-Inputs!$B$5)/Inputs!$B$7/(1+Inputs!$B$7)^(Inputs!$B$31-2026)-Inputs!$B$10-Inputs!$B$11-Inputs!$B$13*(1-Inputs!$B$5)/Inputs!$B$6-Inputs!$B$14)/Inputs!$B$4</f>
        <v>19.6024073881243</v>
      </c>
      <c r="D10" s="13" t="n">
        <f aca="false">(SUMPRODUCT(((Model!$B$8:$F$8+Model!$B$9:$F$9-D$3*Model!$B$5:$F$5/1000)*(1-Inputs!$B$5)+Inputs!$B$5*Model!$B$18:$F$18)*Model!$B$33:$F$33)+SUMPRODUCT((Model!$B$4:$F$4*Inputs!$B$47:$F$47/1000-D$3*Model!$B$4:$F$4/1000)*(1-Inputs!$B$5)*Model!$B$34:$F$34)-SUMPRODUCT(Model!$B$28:$F$28*Model!$B$33:$F$33)+SUMPRODUCT((('Tail 2032-2049'!$E$3:$E$20-D$3*Model!$F$5/1000-Inputs!$B$29*Model!$F$5/Model!$F$3)*(1-Inputs!$B$5)+Inputs!$B$5*Inputs!$B$30)*'Tail 2032-2049'!$H$3:$H$20)+(Model!$F$4*($A10-D$3)/1000-Inputs!$B$29*(1-Model!$F$5/Model!$F$3))*(1-Inputs!$B$5)*SUM('Tail 2032-2049'!$I$3:$I$20)+((Model!$F$4*($A10-D$3)/1000-Inputs!$B$29*(1-Model!$F$5/Model!$F$3))+Model!$F$5*($A10-D$3)/1000)*(1-Inputs!$B$5)/Inputs!$B$7/(1+Inputs!$B$7)^(Inputs!$B$31-2026)-Inputs!$B$10-Inputs!$B$11-Inputs!$B$13*(1-Inputs!$B$5)/Inputs!$B$6-Inputs!$B$14)/Inputs!$B$4</f>
        <v>22.0821886912057</v>
      </c>
      <c r="E10" s="13" t="n">
        <f aca="false">(SUMPRODUCT(((Model!$B$8:$F$8+Model!$B$9:$F$9-E$3*Model!$B$5:$F$5/1000)*(1-Inputs!$B$5)+Inputs!$B$5*Model!$B$18:$F$18)*Model!$B$33:$F$33)+SUMPRODUCT((Model!$B$4:$F$4*Inputs!$B$47:$F$47/1000-E$3*Model!$B$4:$F$4/1000)*(1-Inputs!$B$5)*Model!$B$34:$F$34)-SUMPRODUCT(Model!$B$28:$F$28*Model!$B$33:$F$33)+SUMPRODUCT((('Tail 2032-2049'!$E$3:$E$20-E$3*Model!$F$5/1000-Inputs!$B$29*Model!$F$5/Model!$F$3)*(1-Inputs!$B$5)+Inputs!$B$5*Inputs!$B$30)*'Tail 2032-2049'!$H$3:$H$20)+(Model!$F$4*($A10-E$3)/1000-Inputs!$B$29*(1-Model!$F$5/Model!$F$3))*(1-Inputs!$B$5)*SUM('Tail 2032-2049'!$I$3:$I$20)+((Model!$F$4*($A10-E$3)/1000-Inputs!$B$29*(1-Model!$F$5/Model!$F$3))+Model!$F$5*($A10-E$3)/1000)*(1-Inputs!$B$5)/Inputs!$B$7/(1+Inputs!$B$7)^(Inputs!$B$31-2026)-Inputs!$B$10-Inputs!$B$11-Inputs!$B$13*(1-Inputs!$B$5)/Inputs!$B$6-Inputs!$B$14)/Inputs!$B$4</f>
        <v>24.270231017454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2026-10-08T08:55:36Z</dcterms:created>
  <dc:creator>openpyxl</dc:creator>
  <dc:description/>
  <dc:language>en-US</dc:language>
  <cp:lastModifiedBy/>
  <dcterms:modified xsi:type="dcterms:W3CDTF">2026-10-08T08:55:36Z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